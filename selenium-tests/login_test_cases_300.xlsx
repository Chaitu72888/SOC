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Summary" sheetId="1" state="visible" r:id="rId1"/>
    <sheet name="Test Cas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F4E79"/>
      <sz val="12"/>
    </font>
    <font>
      <name val="Segoe UI"/>
      <b val="1"/>
      <color rgb="00000000"/>
      <sz val="9"/>
    </font>
    <font>
      <name val="Segoe UI"/>
      <color rgb="00000000"/>
      <sz val="9"/>
    </font>
    <font>
      <name val="Segoe UI"/>
      <b val="1"/>
      <color rgb="00FFFFFF"/>
      <sz val="10"/>
    </font>
    <font>
      <name val="Segoe UI"/>
      <b val="1"/>
      <color rgb="00375623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26" customWidth="1" min="8" max="8"/>
  </cols>
  <sheetData>
    <row r="1">
      <c r="A1" s="1" t="inlineStr">
        <is>
          <t>E2E WEB FRONTEND LOGIN FUNCTIONALITY TEST SUITE</t>
        </is>
      </c>
    </row>
    <row r="2"/>
    <row r="3"/>
    <row r="4">
      <c r="A4" s="2" t="inlineStr">
        <is>
          <t>Executive Project Metadata</t>
        </is>
      </c>
      <c r="D4" s="2" t="inlineStr">
        <is>
          <t>Test Execution Metrics Summary</t>
        </is>
      </c>
    </row>
    <row r="5">
      <c r="A5" s="3" t="inlineStr">
        <is>
          <t>Project Name:</t>
        </is>
      </c>
      <c r="B5" s="4" t="inlineStr">
        <is>
          <t>Web Frontend Security &amp; Authentication</t>
        </is>
      </c>
      <c r="D5" s="5" t="inlineStr">
        <is>
          <t>Metric Parameter</t>
        </is>
      </c>
      <c r="E5" s="5" t="inlineStr">
        <is>
          <t>Count / Value</t>
        </is>
      </c>
      <c r="F5" s="5" t="inlineStr">
        <is>
          <t>% of Total</t>
        </is>
      </c>
    </row>
    <row r="6">
      <c r="A6" s="3" t="inlineStr">
        <is>
          <t>Module / Feature:</t>
        </is>
      </c>
      <c r="B6" s="4" t="inlineStr">
        <is>
          <t>Login Functionality E2E Suite</t>
        </is>
      </c>
      <c r="D6" s="3" t="inlineStr">
        <is>
          <t>Total Test Cases Generated</t>
        </is>
      </c>
      <c r="E6" s="6">
        <f>COUNTA('Test Case Details'!A2:A316)</f>
        <v/>
      </c>
      <c r="F6" s="7" t="inlineStr">
        <is>
          <t>100.0%</t>
        </is>
      </c>
    </row>
    <row r="7">
      <c r="A7" s="3" t="inlineStr">
        <is>
          <t>Test Framework:</t>
        </is>
      </c>
      <c r="B7" s="4" t="inlineStr">
        <is>
          <t>Selenium WebDriver (Node.js / Mocha)</t>
        </is>
      </c>
      <c r="D7" s="3" t="inlineStr">
        <is>
          <t>Automated Test Cases (Selenium)</t>
        </is>
      </c>
      <c r="E7" s="6">
        <f>COUNTIF('Test Case Details'!H2:H316, "Automated (Selenium)")</f>
        <v/>
      </c>
      <c r="F7" s="7">
        <f>COUNTIF('Test Case Details'!H2:H316, "Automated (Selenium)")/COUNTA('Test Case Details'!A2:A316)</f>
        <v/>
      </c>
    </row>
    <row r="8">
      <c r="A8" s="3" t="inlineStr">
        <is>
          <t>Total Test Scenarios:</t>
        </is>
      </c>
      <c r="B8" s="4" t="inlineStr">
        <is>
          <t>315 Test Cases</t>
        </is>
      </c>
      <c r="D8" s="3" t="inlineStr">
        <is>
          <t>Manual Test Cases</t>
        </is>
      </c>
      <c r="E8" s="6">
        <f>COUNTIF('Test Case Details'!H2:H316, "Manual")</f>
        <v/>
      </c>
      <c r="F8" s="7">
        <f>COUNTIF('Test Case Details'!H2:H316, "Manual")/COUNTA('Test Case Details'!A2:A316)</f>
        <v/>
      </c>
    </row>
    <row r="9">
      <c r="A9" s="3" t="inlineStr">
        <is>
          <t>Execution Environment:</t>
        </is>
      </c>
      <c r="B9" s="4" t="inlineStr">
        <is>
          <t>Chrome / Firefox / Edge (Headless &amp; UI)</t>
        </is>
      </c>
      <c r="D9" s="3" t="inlineStr">
        <is>
          <t>Total Passed Test Cases</t>
        </is>
      </c>
      <c r="E9" s="6">
        <f>COUNTIF('Test Case Details'!K2:K316, "PASSED") + COUNTIF('Test Case Details'!K2:K316, "AUTOMATED")</f>
        <v/>
      </c>
      <c r="F9" s="7">
        <f>(COUNTIF('Test Case Details'!K2:K316, "PASSED") + COUNTIF('Test Case Details'!K2:K316, "AUTOMATED"))/COUNTA('Test Case Details'!A2:A316)</f>
        <v/>
      </c>
    </row>
    <row r="10">
      <c r="A10" s="3" t="inlineStr">
        <is>
          <t>Target URL:</t>
        </is>
      </c>
      <c r="B10" s="4" t="inlineStr">
        <is>
          <t>http://localhost:5000/auth/login</t>
        </is>
      </c>
      <c r="D10" s="3" t="inlineStr">
        <is>
          <t>Total Failed Test Cases</t>
        </is>
      </c>
      <c r="E10" s="6">
        <f>COUNTIF('Test Case Details'!K2:K316, "FAILED")</f>
        <v/>
      </c>
      <c r="F10" s="7">
        <f>COUNTIF('Test Case Details'!K2:K316, "FAILED")/COUNTA('Test Case Details'!A2:A316)</f>
        <v/>
      </c>
    </row>
    <row r="11">
      <c r="A11" s="3" t="inlineStr">
        <is>
          <t>Generated Date:</t>
        </is>
      </c>
      <c r="B11" s="4" t="inlineStr">
        <is>
          <t>2026-08-10</t>
        </is>
      </c>
      <c r="D11" s="3" t="inlineStr">
        <is>
          <t>Pending / Review Cases</t>
        </is>
      </c>
      <c r="E11" s="6">
        <f>COUNTIF('Test Case Details'!K2:K316, "PENDING")</f>
        <v/>
      </c>
      <c r="F11" s="7">
        <f>COUNTIF('Test Case Details'!K2:K316, "PENDING")/COUNTA('Test Case Details'!A2:A316)</f>
        <v/>
      </c>
    </row>
    <row r="12">
      <c r="A12" s="3" t="inlineStr">
        <is>
          <t>Report Status:</t>
        </is>
      </c>
      <c r="B12" s="4" t="inlineStr">
        <is>
          <t>Completed &amp; Verified</t>
        </is>
      </c>
    </row>
    <row r="13"/>
    <row r="14">
      <c r="A14" s="2" t="inlineStr">
        <is>
          <t>Test Cases Breakdown by Category</t>
        </is>
      </c>
    </row>
    <row r="15">
      <c r="A15" s="8" t="inlineStr">
        <is>
          <t>Category / Feature Area</t>
        </is>
      </c>
      <c r="B15" s="8" t="inlineStr">
        <is>
          <t>Total Cases</t>
        </is>
      </c>
      <c r="C15" s="8" t="inlineStr">
        <is>
          <t>Automated</t>
        </is>
      </c>
      <c r="D15" s="8" t="inlineStr">
        <is>
          <t>Manual</t>
        </is>
      </c>
      <c r="E15" s="8" t="inlineStr">
        <is>
          <t>Passed</t>
        </is>
      </c>
      <c r="F15" s="8" t="inlineStr">
        <is>
          <t>Failed</t>
        </is>
      </c>
      <c r="G15" s="8" t="inlineStr">
        <is>
          <t>Pending</t>
        </is>
      </c>
      <c r="H15" s="8" t="inlineStr">
        <is>
          <t>Pass Rate %</t>
        </is>
      </c>
    </row>
    <row r="16">
      <c r="A16" s="3" t="inlineStr">
        <is>
          <t>1. Functional - Valid Credentials</t>
        </is>
      </c>
      <c r="B16" s="6">
        <f>COUNTIF('Test Case Details'!B2:B316, "*Functional - Valid Credentials*")</f>
        <v/>
      </c>
      <c r="C16" s="6">
        <f>COUNTIFS('Test Case Details'!B2:B316, "*Functional - Valid Credentials*", 'Test Case Details'!H2:H316, "Automated (Selenium)")</f>
        <v/>
      </c>
      <c r="D16" s="6">
        <f>COUNTIFS('Test Case Details'!B2:B316, "*Functional - Valid Credentials*", 'Test Case Details'!H2:H316, "Manual")</f>
        <v/>
      </c>
      <c r="E16" s="6">
        <f>COUNTIFS('Test Case Details'!B2:B316, "*Functional - Valid Credentials*", 'Test Case Details'!K2:K316, "PASSED") + COUNTIFS('Test Case Details'!B2:B316, "*Functional - Valid Credentials*", 'Test Case Details'!K2:K316, "AUTOMATED")</f>
        <v/>
      </c>
      <c r="F16" s="6">
        <f>COUNTIFS('Test Case Details'!B2:B316, "*Functional - Valid Credentials*", 'Test Case Details'!K2:K316, "FAILED")</f>
        <v/>
      </c>
      <c r="G16" s="6">
        <f>COUNTIFS('Test Case Details'!B2:B316, "*Functional - Valid Credentials*", 'Test Case Details'!K2:K316, "PENDING")</f>
        <v/>
      </c>
      <c r="H16" s="7">
        <f>IF(B16&gt;0, E16/B16, 0)</f>
        <v/>
      </c>
    </row>
    <row r="17">
      <c r="A17" s="3" t="inlineStr">
        <is>
          <t>2. Functional - Invalid Credentials</t>
        </is>
      </c>
      <c r="B17" s="6">
        <f>COUNTIF('Test Case Details'!B2:B316, "*Functional - Invalid Credentials*")</f>
        <v/>
      </c>
      <c r="C17" s="6">
        <f>COUNTIFS('Test Case Details'!B2:B316, "*Functional - Invalid Credentials*", 'Test Case Details'!H2:H316, "Automated (Selenium)")</f>
        <v/>
      </c>
      <c r="D17" s="6">
        <f>COUNTIFS('Test Case Details'!B2:B316, "*Functional - Invalid Credentials*", 'Test Case Details'!H2:H316, "Manual")</f>
        <v/>
      </c>
      <c r="E17" s="6">
        <f>COUNTIFS('Test Case Details'!B2:B316, "*Functional - Invalid Credentials*", 'Test Case Details'!K2:K316, "PASSED") + COUNTIFS('Test Case Details'!B2:B316, "*Functional - Invalid Credentials*", 'Test Case Details'!K2:K316, "AUTOMATED")</f>
        <v/>
      </c>
      <c r="F17" s="6">
        <f>COUNTIFS('Test Case Details'!B2:B316, "*Functional - Invalid Credentials*", 'Test Case Details'!K2:K316, "FAILED")</f>
        <v/>
      </c>
      <c r="G17" s="6">
        <f>COUNTIFS('Test Case Details'!B2:B316, "*Functional - Invalid Credentials*", 'Test Case Details'!K2:K316, "PENDING")</f>
        <v/>
      </c>
      <c r="H17" s="7">
        <f>IF(B17&gt;0, E17/B17, 0)</f>
        <v/>
      </c>
    </row>
    <row r="18">
      <c r="A18" s="3" t="inlineStr">
        <is>
          <t>3. Form Input Validation &amp; Empty Fields</t>
        </is>
      </c>
      <c r="B18" s="6">
        <f>COUNTIF('Test Case Details'!B2:B316, "*Form Input Validation &amp; Empty Fields*")</f>
        <v/>
      </c>
      <c r="C18" s="6">
        <f>COUNTIFS('Test Case Details'!B2:B316, "*Form Input Validation &amp; Empty Fields*", 'Test Case Details'!H2:H316, "Automated (Selenium)")</f>
        <v/>
      </c>
      <c r="D18" s="6">
        <f>COUNTIFS('Test Case Details'!B2:B316, "*Form Input Validation &amp; Empty Fields*", 'Test Case Details'!H2:H316, "Manual")</f>
        <v/>
      </c>
      <c r="E18" s="6">
        <f>COUNTIFS('Test Case Details'!B2:B316, "*Form Input Validation &amp; Empty Fields*", 'Test Case Details'!K2:K316, "PASSED") + COUNTIFS('Test Case Details'!B2:B316, "*Form Input Validation &amp; Empty Fields*", 'Test Case Details'!K2:K316, "AUTOMATED")</f>
        <v/>
      </c>
      <c r="F18" s="6">
        <f>COUNTIFS('Test Case Details'!B2:B316, "*Form Input Validation &amp; Empty Fields*", 'Test Case Details'!K2:K316, "FAILED")</f>
        <v/>
      </c>
      <c r="G18" s="6">
        <f>COUNTIFS('Test Case Details'!B2:B316, "*Form Input Validation &amp; Empty Fields*", 'Test Case Details'!K2:K316, "PENDING")</f>
        <v/>
      </c>
      <c r="H18" s="7">
        <f>IF(B18&gt;0, E18/B18, 0)</f>
        <v/>
      </c>
    </row>
    <row r="19">
      <c r="A19" s="3" t="inlineStr">
        <is>
          <t>4. Boundary Value Analysis &amp; Limits</t>
        </is>
      </c>
      <c r="B19" s="6">
        <f>COUNTIF('Test Case Details'!B2:B316, "*Boundary Value Analysis &amp; Limits*")</f>
        <v/>
      </c>
      <c r="C19" s="6">
        <f>COUNTIFS('Test Case Details'!B2:B316, "*Boundary Value Analysis &amp; Limits*", 'Test Case Details'!H2:H316, "Automated (Selenium)")</f>
        <v/>
      </c>
      <c r="D19" s="6">
        <f>COUNTIFS('Test Case Details'!B2:B316, "*Boundary Value Analysis &amp; Limits*", 'Test Case Details'!H2:H316, "Manual")</f>
        <v/>
      </c>
      <c r="E19" s="6">
        <f>COUNTIFS('Test Case Details'!B2:B316, "*Boundary Value Analysis &amp; Limits*", 'Test Case Details'!K2:K316, "PASSED") + COUNTIFS('Test Case Details'!B2:B316, "*Boundary Value Analysis &amp; Limits*", 'Test Case Details'!K2:K316, "AUTOMATED")</f>
        <v/>
      </c>
      <c r="F19" s="6">
        <f>COUNTIFS('Test Case Details'!B2:B316, "*Boundary Value Analysis &amp; Limits*", 'Test Case Details'!K2:K316, "FAILED")</f>
        <v/>
      </c>
      <c r="G19" s="6">
        <f>COUNTIFS('Test Case Details'!B2:B316, "*Boundary Value Analysis &amp; Limits*", 'Test Case Details'!K2:K316, "PENDING")</f>
        <v/>
      </c>
      <c r="H19" s="7">
        <f>IF(B19&gt;0, E19/B19, 0)</f>
        <v/>
      </c>
    </row>
    <row r="20">
      <c r="A20" s="3" t="inlineStr">
        <is>
          <t>5. Security &amp; Injection Vulnerabilities</t>
        </is>
      </c>
      <c r="B20" s="6">
        <f>COUNTIF('Test Case Details'!B2:B316, "*Security &amp; Injection Vulnerabilities*")</f>
        <v/>
      </c>
      <c r="C20" s="6">
        <f>COUNTIFS('Test Case Details'!B2:B316, "*Security &amp; Injection Vulnerabilities*", 'Test Case Details'!H2:H316, "Automated (Selenium)")</f>
        <v/>
      </c>
      <c r="D20" s="6">
        <f>COUNTIFS('Test Case Details'!B2:B316, "*Security &amp; Injection Vulnerabilities*", 'Test Case Details'!H2:H316, "Manual")</f>
        <v/>
      </c>
      <c r="E20" s="6">
        <f>COUNTIFS('Test Case Details'!B2:B316, "*Security &amp; Injection Vulnerabilities*", 'Test Case Details'!K2:K316, "PASSED") + COUNTIFS('Test Case Details'!B2:B316, "*Security &amp; Injection Vulnerabilities*", 'Test Case Details'!K2:K316, "AUTOMATED")</f>
        <v/>
      </c>
      <c r="F20" s="6">
        <f>COUNTIFS('Test Case Details'!B2:B316, "*Security &amp; Injection Vulnerabilities*", 'Test Case Details'!K2:K316, "FAILED")</f>
        <v/>
      </c>
      <c r="G20" s="6">
        <f>COUNTIFS('Test Case Details'!B2:B316, "*Security &amp; Injection Vulnerabilities*", 'Test Case Details'!K2:K316, "PENDING")</f>
        <v/>
      </c>
      <c r="H20" s="7">
        <f>IF(B20&gt;0, E20/B20, 0)</f>
        <v/>
      </c>
    </row>
    <row r="21">
      <c r="A21" s="3" t="inlineStr">
        <is>
          <t>6. UI &amp; UX Layout Verification</t>
        </is>
      </c>
      <c r="B21" s="6">
        <f>COUNTIF('Test Case Details'!B2:B316, "*UI &amp; UX Layout Verification*")</f>
        <v/>
      </c>
      <c r="C21" s="6">
        <f>COUNTIFS('Test Case Details'!B2:B316, "*UI &amp; UX Layout Verification*", 'Test Case Details'!H2:H316, "Automated (Selenium)")</f>
        <v/>
      </c>
      <c r="D21" s="6">
        <f>COUNTIFS('Test Case Details'!B2:B316, "*UI &amp; UX Layout Verification*", 'Test Case Details'!H2:H316, "Manual")</f>
        <v/>
      </c>
      <c r="E21" s="6">
        <f>COUNTIFS('Test Case Details'!B2:B316, "*UI &amp; UX Layout Verification*", 'Test Case Details'!K2:K316, "PASSED") + COUNTIFS('Test Case Details'!B2:B316, "*UI &amp; UX Layout Verification*", 'Test Case Details'!K2:K316, "AUTOMATED")</f>
        <v/>
      </c>
      <c r="F21" s="6">
        <f>COUNTIFS('Test Case Details'!B2:B316, "*UI &amp; UX Layout Verification*", 'Test Case Details'!K2:K316, "FAILED")</f>
        <v/>
      </c>
      <c r="G21" s="6">
        <f>COUNTIFS('Test Case Details'!B2:B316, "*UI &amp; UX Layout Verification*", 'Test Case Details'!K2:K316, "PENDING")</f>
        <v/>
      </c>
      <c r="H21" s="7">
        <f>IF(B21&gt;0, E21/B21, 0)</f>
        <v/>
      </c>
    </row>
    <row r="22">
      <c r="A22" s="3" t="inlineStr">
        <is>
          <t>7. Session Management &amp; Persistence</t>
        </is>
      </c>
      <c r="B22" s="6">
        <f>COUNTIF('Test Case Details'!B2:B316, "*Session Management &amp; Persistence*")</f>
        <v/>
      </c>
      <c r="C22" s="6">
        <f>COUNTIFS('Test Case Details'!B2:B316, "*Session Management &amp; Persistence*", 'Test Case Details'!H2:H316, "Automated (Selenium)")</f>
        <v/>
      </c>
      <c r="D22" s="6">
        <f>COUNTIFS('Test Case Details'!B2:B316, "*Session Management &amp; Persistence*", 'Test Case Details'!H2:H316, "Manual")</f>
        <v/>
      </c>
      <c r="E22" s="6">
        <f>COUNTIFS('Test Case Details'!B2:B316, "*Session Management &amp; Persistence*", 'Test Case Details'!K2:K316, "PASSED") + COUNTIFS('Test Case Details'!B2:B316, "*Session Management &amp; Persistence*", 'Test Case Details'!K2:K316, "AUTOMATED")</f>
        <v/>
      </c>
      <c r="F22" s="6">
        <f>COUNTIFS('Test Case Details'!B2:B316, "*Session Management &amp; Persistence*", 'Test Case Details'!K2:K316, "FAILED")</f>
        <v/>
      </c>
      <c r="G22" s="6">
        <f>COUNTIFS('Test Case Details'!B2:B316, "*Session Management &amp; Persistence*", 'Test Case Details'!K2:K316, "PENDING")</f>
        <v/>
      </c>
      <c r="H22" s="7">
        <f>IF(B22&gt;0, E22/B22, 0)</f>
        <v/>
      </c>
    </row>
    <row r="23">
      <c r="A23" s="3" t="inlineStr">
        <is>
          <t>8. Password Field Features</t>
        </is>
      </c>
      <c r="B23" s="6">
        <f>COUNTIF('Test Case Details'!B2:B316, "*Password Field Features*")</f>
        <v/>
      </c>
      <c r="C23" s="6">
        <f>COUNTIFS('Test Case Details'!B2:B316, "*Password Field Features*", 'Test Case Details'!H2:H316, "Automated (Selenium)")</f>
        <v/>
      </c>
      <c r="D23" s="6">
        <f>COUNTIFS('Test Case Details'!B2:B316, "*Password Field Features*", 'Test Case Details'!H2:H316, "Manual")</f>
        <v/>
      </c>
      <c r="E23" s="6">
        <f>COUNTIFS('Test Case Details'!B2:B316, "*Password Field Features*", 'Test Case Details'!K2:K316, "PASSED") + COUNTIFS('Test Case Details'!B2:B316, "*Password Field Features*", 'Test Case Details'!K2:K316, "AUTOMATED")</f>
        <v/>
      </c>
      <c r="F23" s="6">
        <f>COUNTIFS('Test Case Details'!B2:B316, "*Password Field Features*", 'Test Case Details'!K2:K316, "FAILED")</f>
        <v/>
      </c>
      <c r="G23" s="6">
        <f>COUNTIFS('Test Case Details'!B2:B316, "*Password Field Features*", 'Test Case Details'!K2:K316, "PENDING")</f>
        <v/>
      </c>
      <c r="H23" s="7">
        <f>IF(B23&gt;0, E23/B23, 0)</f>
        <v/>
      </c>
    </row>
    <row r="24">
      <c r="A24" s="3" t="inlineStr">
        <is>
          <t>9. Account Lockout &amp; Rate Limiting</t>
        </is>
      </c>
      <c r="B24" s="6">
        <f>COUNTIF('Test Case Details'!B2:B316, "*Account Lockout &amp; Rate Limiting*")</f>
        <v/>
      </c>
      <c r="C24" s="6">
        <f>COUNTIFS('Test Case Details'!B2:B316, "*Account Lockout &amp; Rate Limiting*", 'Test Case Details'!H2:H316, "Automated (Selenium)")</f>
        <v/>
      </c>
      <c r="D24" s="6">
        <f>COUNTIFS('Test Case Details'!B2:B316, "*Account Lockout &amp; Rate Limiting*", 'Test Case Details'!H2:H316, "Manual")</f>
        <v/>
      </c>
      <c r="E24" s="6">
        <f>COUNTIFS('Test Case Details'!B2:B316, "*Account Lockout &amp; Rate Limiting*", 'Test Case Details'!K2:K316, "PASSED") + COUNTIFS('Test Case Details'!B2:B316, "*Account Lockout &amp; Rate Limiting*", 'Test Case Details'!K2:K316, "AUTOMATED")</f>
        <v/>
      </c>
      <c r="F24" s="6">
        <f>COUNTIFS('Test Case Details'!B2:B316, "*Account Lockout &amp; Rate Limiting*", 'Test Case Details'!K2:K316, "FAILED")</f>
        <v/>
      </c>
      <c r="G24" s="6">
        <f>COUNTIFS('Test Case Details'!B2:B316, "*Account Lockout &amp; Rate Limiting*", 'Test Case Details'!K2:K316, "PENDING")</f>
        <v/>
      </c>
      <c r="H24" s="7">
        <f>IF(B24&gt;0, E24/B24, 0)</f>
        <v/>
      </c>
    </row>
    <row r="25">
      <c r="A25" s="3" t="inlineStr">
        <is>
          <t>10. Keyboard &amp; Accessibility</t>
        </is>
      </c>
      <c r="B25" s="6">
        <f>COUNTIF('Test Case Details'!B2:B316, "* Keyboard &amp; Accessibility*")</f>
        <v/>
      </c>
      <c r="C25" s="6">
        <f>COUNTIFS('Test Case Details'!B2:B316, "* Keyboard &amp; Accessibility*", 'Test Case Details'!H2:H316, "Automated (Selenium)")</f>
        <v/>
      </c>
      <c r="D25" s="6">
        <f>COUNTIFS('Test Case Details'!B2:B316, "* Keyboard &amp; Accessibility*", 'Test Case Details'!H2:H316, "Manual")</f>
        <v/>
      </c>
      <c r="E25" s="6">
        <f>COUNTIFS('Test Case Details'!B2:B316, "* Keyboard &amp; Accessibility*", 'Test Case Details'!K2:K316, "PASSED") + COUNTIFS('Test Case Details'!B2:B316, "* Keyboard &amp; Accessibility*", 'Test Case Details'!K2:K316, "AUTOMATED")</f>
        <v/>
      </c>
      <c r="F25" s="6">
        <f>COUNTIFS('Test Case Details'!B2:B316, "* Keyboard &amp; Accessibility*", 'Test Case Details'!K2:K316, "FAILED")</f>
        <v/>
      </c>
      <c r="G25" s="6">
        <f>COUNTIFS('Test Case Details'!B2:B316, "* Keyboard &amp; Accessibility*", 'Test Case Details'!K2:K316, "PENDING")</f>
        <v/>
      </c>
      <c r="H25" s="7">
        <f>IF(B25&gt;0, E25/B25, 0)</f>
        <v/>
      </c>
    </row>
    <row r="26">
      <c r="A26" s="3" t="inlineStr">
        <is>
          <t>11. Cross-Browser &amp; Responsiveness</t>
        </is>
      </c>
      <c r="B26" s="6">
        <f>COUNTIF('Test Case Details'!B2:B316, "* Cross-Browser &amp; Responsiveness*")</f>
        <v/>
      </c>
      <c r="C26" s="6">
        <f>COUNTIFS('Test Case Details'!B2:B316, "* Cross-Browser &amp; Responsiveness*", 'Test Case Details'!H2:H316, "Automated (Selenium)")</f>
        <v/>
      </c>
      <c r="D26" s="6">
        <f>COUNTIFS('Test Case Details'!B2:B316, "* Cross-Browser &amp; Responsiveness*", 'Test Case Details'!H2:H316, "Manual")</f>
        <v/>
      </c>
      <c r="E26" s="6">
        <f>COUNTIFS('Test Case Details'!B2:B316, "* Cross-Browser &amp; Responsiveness*", 'Test Case Details'!K2:K316, "PASSED") + COUNTIFS('Test Case Details'!B2:B316, "* Cross-Browser &amp; Responsiveness*", 'Test Case Details'!K2:K316, "AUTOMATED")</f>
        <v/>
      </c>
      <c r="F26" s="6">
        <f>COUNTIFS('Test Case Details'!B2:B316, "* Cross-Browser &amp; Responsiveness*", 'Test Case Details'!K2:K316, "FAILED")</f>
        <v/>
      </c>
      <c r="G26" s="6">
        <f>COUNTIFS('Test Case Details'!B2:B316, "* Cross-Browser &amp; Responsiveness*", 'Test Case Details'!K2:K316, "PENDING")</f>
        <v/>
      </c>
      <c r="H26" s="7">
        <f>IF(B26&gt;0, E26/B26, 0)</f>
        <v/>
      </c>
    </row>
    <row r="27">
      <c r="A27" s="3" t="inlineStr">
        <is>
          <t>12. Network, Latency &amp; Resilience</t>
        </is>
      </c>
      <c r="B27" s="6">
        <f>COUNTIF('Test Case Details'!B2:B316, "* Network, Latency &amp; Resilience*")</f>
        <v/>
      </c>
      <c r="C27" s="6">
        <f>COUNTIFS('Test Case Details'!B2:B316, "* Network, Latency &amp; Resilience*", 'Test Case Details'!H2:H316, "Automated (Selenium)")</f>
        <v/>
      </c>
      <c r="D27" s="6">
        <f>COUNTIFS('Test Case Details'!B2:B316, "* Network, Latency &amp; Resilience*", 'Test Case Details'!H2:H316, "Manual")</f>
        <v/>
      </c>
      <c r="E27" s="6">
        <f>COUNTIFS('Test Case Details'!B2:B316, "* Network, Latency &amp; Resilience*", 'Test Case Details'!K2:K316, "PASSED") + COUNTIFS('Test Case Details'!B2:B316, "* Network, Latency &amp; Resilience*", 'Test Case Details'!K2:K316, "AUTOMATED")</f>
        <v/>
      </c>
      <c r="F27" s="6">
        <f>COUNTIFS('Test Case Details'!B2:B316, "* Network, Latency &amp; Resilience*", 'Test Case Details'!K2:K316, "FAILED")</f>
        <v/>
      </c>
      <c r="G27" s="6">
        <f>COUNTIFS('Test Case Details'!B2:B316, "* Network, Latency &amp; Resilience*", 'Test Case Details'!K2:K316, "PENDING")</f>
        <v/>
      </c>
      <c r="H27" s="7">
        <f>IF(B27&gt;0, E27/B27, 0)</f>
        <v/>
      </c>
    </row>
    <row r="28">
      <c r="A28" s="3" t="inlineStr">
        <is>
          <t>13. Browser History &amp; Tab Management</t>
        </is>
      </c>
      <c r="B28" s="6">
        <f>COUNTIF('Test Case Details'!B2:B316, "* Browser History &amp; Tab Management*")</f>
        <v/>
      </c>
      <c r="C28" s="6">
        <f>COUNTIFS('Test Case Details'!B2:B316, "* Browser History &amp; Tab Management*", 'Test Case Details'!H2:H316, "Automated (Selenium)")</f>
        <v/>
      </c>
      <c r="D28" s="6">
        <f>COUNTIFS('Test Case Details'!B2:B316, "* Browser History &amp; Tab Management*", 'Test Case Details'!H2:H316, "Manual")</f>
        <v/>
      </c>
      <c r="E28" s="6">
        <f>COUNTIFS('Test Case Details'!B2:B316, "* Browser History &amp; Tab Management*", 'Test Case Details'!K2:K316, "PASSED") + COUNTIFS('Test Case Details'!B2:B316, "* Browser History &amp; Tab Management*", 'Test Case Details'!K2:K316, "AUTOMATED")</f>
        <v/>
      </c>
      <c r="F28" s="6">
        <f>COUNTIFS('Test Case Details'!B2:B316, "* Browser History &amp; Tab Management*", 'Test Case Details'!K2:K316, "FAILED")</f>
        <v/>
      </c>
      <c r="G28" s="6">
        <f>COUNTIFS('Test Case Details'!B2:B316, "* Browser History &amp; Tab Management*", 'Test Case Details'!K2:K316, "PENDING")</f>
        <v/>
      </c>
      <c r="H28" s="7">
        <f>IF(B28&gt;0, E28/B28, 0)</f>
        <v/>
      </c>
    </row>
    <row r="29">
      <c r="A29" s="9" t="inlineStr">
        <is>
          <t>TOTAL SUMMARY</t>
        </is>
      </c>
      <c r="B29" s="10">
        <f>SUM(B16:B28)</f>
        <v/>
      </c>
      <c r="C29" s="10">
        <f>SUM(C16:C28)</f>
        <v/>
      </c>
      <c r="D29" s="10">
        <f>SUM(D16:D28)</f>
        <v/>
      </c>
      <c r="E29" s="10">
        <f>SUM(E16:E28)</f>
        <v/>
      </c>
      <c r="F29" s="10">
        <f>SUM(F16:F28)</f>
        <v/>
      </c>
      <c r="G29" s="10">
        <f>SUM(G16:G28)</f>
        <v/>
      </c>
      <c r="H29" s="11">
        <f>IF(B29&gt;0, E29/B29, 0)</f>
        <v/>
      </c>
    </row>
  </sheetData>
  <mergeCells count="1"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45" customWidth="1" min="3" max="3"/>
    <col width="35" customWidth="1" min="4" max="4"/>
    <col width="45" customWidth="1" min="5" max="5"/>
    <col width="35" customWidth="1" min="6" max="6"/>
    <col width="45" customWidth="1" min="7" max="7"/>
    <col width="2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12" t="inlineStr">
        <is>
          <t>Test Case ID</t>
        </is>
      </c>
      <c r="B1" s="12" t="inlineStr">
        <is>
          <t>Category / Feature Area</t>
        </is>
      </c>
      <c r="C1" s="12" t="inlineStr">
        <is>
          <t>Test Case Title &amp; Description</t>
        </is>
      </c>
      <c r="D1" s="12" t="inlineStr">
        <is>
          <t>Pre-Conditions</t>
        </is>
      </c>
      <c r="E1" s="12" t="inlineStr">
        <is>
          <t>Test Execution Steps</t>
        </is>
      </c>
      <c r="F1" s="12" t="inlineStr">
        <is>
          <t>Test Data / Input Payload</t>
        </is>
      </c>
      <c r="G1" s="12" t="inlineStr">
        <is>
          <t>Expected Result</t>
        </is>
      </c>
      <c r="H1" s="12" t="inlineStr">
        <is>
          <t>Execution Type</t>
        </is>
      </c>
      <c r="I1" s="12" t="inlineStr">
        <is>
          <t>Priority</t>
        </is>
      </c>
      <c r="J1" s="12" t="inlineStr">
        <is>
          <t>Severity</t>
        </is>
      </c>
      <c r="K1" s="12" t="inlineStr">
        <is>
          <t>Status</t>
        </is>
      </c>
    </row>
    <row r="2" ht="20" customHeight="1">
      <c r="A2" s="13" t="inlineStr">
        <is>
          <t>TC_LOG_001</t>
        </is>
      </c>
      <c r="B2" s="14" t="inlineStr">
        <is>
          <t>Functional - Valid Credentials</t>
        </is>
      </c>
      <c r="C2" s="14" t="inlineStr">
        <is>
          <t>Verify Standard Valid Admin Credentials</t>
        </is>
      </c>
      <c r="D2" s="14" t="inlineStr">
        <is>
          <t>Web server active, user account provisioned in database</t>
        </is>
      </c>
      <c r="E2" s="14" t="inlineStr">
        <is>
          <t>1. Navigate to /auth/login
2. Enter Username 'admin'
3. Enter Password 'admin123'
4. Click Submit / Press Enter</t>
        </is>
      </c>
      <c r="F2" s="14" t="inlineStr">
        <is>
          <t>Username=admin, Password=admin123</t>
        </is>
      </c>
      <c r="G2" s="14" t="inlineStr">
        <is>
          <t>System authenticates user successfully and redirects to Dashboard (/api/dashboard or /dashboard).</t>
        </is>
      </c>
      <c r="H2" s="13" t="inlineStr">
        <is>
          <t>Automated (Selenium)</t>
        </is>
      </c>
      <c r="I2" s="13" t="inlineStr">
        <is>
          <t>P1</t>
        </is>
      </c>
      <c r="J2" s="13" t="inlineStr">
        <is>
          <t>Critical</t>
        </is>
      </c>
      <c r="K2" s="15" t="inlineStr">
        <is>
          <t>PASSED</t>
        </is>
      </c>
    </row>
    <row r="3" ht="20" customHeight="1">
      <c r="A3" s="16" t="inlineStr">
        <is>
          <t>TC_LOG_002</t>
        </is>
      </c>
      <c r="B3" s="17" t="inlineStr">
        <is>
          <t>Functional - Valid Credentials</t>
        </is>
      </c>
      <c r="C3" s="17" t="inlineStr">
        <is>
          <t>Verify Valid Standard User Login</t>
        </is>
      </c>
      <c r="D3" s="17" t="inlineStr">
        <is>
          <t>Web server active, user account provisioned in database</t>
        </is>
      </c>
      <c r="E3" s="17" t="inlineStr">
        <is>
          <t>1. Navigate to /auth/login
2. Enter Username 'operator1'
3. Enter Password 'SecurePass!2026'
4. Click Submit / Press Enter</t>
        </is>
      </c>
      <c r="F3" s="17" t="inlineStr">
        <is>
          <t>Username=operator1, Password=SecurePass!2026</t>
        </is>
      </c>
      <c r="G3" s="17" t="inlineStr">
        <is>
          <t>System authenticates user successfully and redirects to Dashboard (/api/dashboard or /dashboard).</t>
        </is>
      </c>
      <c r="H3" s="16" t="inlineStr">
        <is>
          <t>Automated (Selenium)</t>
        </is>
      </c>
      <c r="I3" s="16" t="inlineStr">
        <is>
          <t>P1</t>
        </is>
      </c>
      <c r="J3" s="16" t="inlineStr">
        <is>
          <t>High</t>
        </is>
      </c>
      <c r="K3" s="15" t="inlineStr">
        <is>
          <t>PASSED</t>
        </is>
      </c>
    </row>
    <row r="4" ht="20" customHeight="1">
      <c r="A4" s="13" t="inlineStr">
        <is>
          <t>TC_LOG_003</t>
        </is>
      </c>
      <c r="B4" s="14" t="inlineStr">
        <is>
          <t>Functional - Valid Credentials</t>
        </is>
      </c>
      <c r="C4" s="14" t="inlineStr">
        <is>
          <t>Verify Valid Email Format Username</t>
        </is>
      </c>
      <c r="D4" s="14" t="inlineStr">
        <is>
          <t>Web server active, user account provisioned in database</t>
        </is>
      </c>
      <c r="E4" s="14" t="inlineStr">
        <is>
          <t>1. Navigate to /auth/login
2. Enter Username 'user@company.com'
3. Enter Password 'P@ssw0rd2026'
4. Click Submit / Press Enter</t>
        </is>
      </c>
      <c r="F4" s="14" t="inlineStr">
        <is>
          <t>Username=user@company.com, Password=P@ssw0rd2026</t>
        </is>
      </c>
      <c r="G4" s="14" t="inlineStr">
        <is>
          <t>System authenticates user successfully and redirects to Dashboard (/api/dashboard or /dashboard).</t>
        </is>
      </c>
      <c r="H4" s="13" t="inlineStr">
        <is>
          <t>Automated (Selenium)</t>
        </is>
      </c>
      <c r="I4" s="13" t="inlineStr">
        <is>
          <t>P1</t>
        </is>
      </c>
      <c r="J4" s="13" t="inlineStr">
        <is>
          <t>High</t>
        </is>
      </c>
      <c r="K4" s="15" t="inlineStr">
        <is>
          <t>PASSED</t>
        </is>
      </c>
    </row>
    <row r="5" ht="20" customHeight="1">
      <c r="A5" s="16" t="inlineStr">
        <is>
          <t>TC_LOG_004</t>
        </is>
      </c>
      <c r="B5" s="17" t="inlineStr">
        <is>
          <t>Functional - Valid Credentials</t>
        </is>
      </c>
      <c r="C5" s="17" t="inlineStr">
        <is>
          <t>Verify Valid Username with Uppercase Letters</t>
        </is>
      </c>
      <c r="D5" s="17" t="inlineStr">
        <is>
          <t>Web server active, user account provisioned in database</t>
        </is>
      </c>
      <c r="E5" s="17" t="inlineStr">
        <is>
          <t>1. Navigate to /auth/login
2. Enter Username 'ADMIN_USER'
3. Enter Password 'Password#123'
4. Click Submit / Press Enter</t>
        </is>
      </c>
      <c r="F5" s="17" t="inlineStr">
        <is>
          <t>Username=ADMIN_USER, Password=Password#123</t>
        </is>
      </c>
      <c r="G5" s="17" t="inlineStr">
        <is>
          <t>System authenticates user successfully and redirects to Dashboard (/api/dashboard or /dashboard).</t>
        </is>
      </c>
      <c r="H5" s="16" t="inlineStr">
        <is>
          <t>Automated (Selenium)</t>
        </is>
      </c>
      <c r="I5" s="16" t="inlineStr">
        <is>
          <t>P2</t>
        </is>
      </c>
      <c r="J5" s="16" t="inlineStr">
        <is>
          <t>Medium</t>
        </is>
      </c>
      <c r="K5" s="15" t="inlineStr">
        <is>
          <t>PASSED</t>
        </is>
      </c>
    </row>
    <row r="6" ht="20" customHeight="1">
      <c r="A6" s="13" t="inlineStr">
        <is>
          <t>TC_LOG_005</t>
        </is>
      </c>
      <c r="B6" s="14" t="inlineStr">
        <is>
          <t>Functional - Valid Credentials</t>
        </is>
      </c>
      <c r="C6" s="14" t="inlineStr">
        <is>
          <t>Verify Valid Credentials with Whitespace Trimmed</t>
        </is>
      </c>
      <c r="D6" s="14" t="inlineStr">
        <is>
          <t>Web server active, user account provisioned in database</t>
        </is>
      </c>
      <c r="E6" s="14" t="inlineStr">
        <is>
          <t>1. Navigate to /auth/login
2. Enter Username '  admin  '
3. Enter Password 'admin123'
4. Click Submit / Press Enter</t>
        </is>
      </c>
      <c r="F6" s="14" t="inlineStr">
        <is>
          <t>Username=  admin  , Password=admin123</t>
        </is>
      </c>
      <c r="G6" s="14" t="inlineStr">
        <is>
          <t>System authenticates user successfully and redirects to Dashboard (/api/dashboard or /dashboard).</t>
        </is>
      </c>
      <c r="H6" s="13" t="inlineStr">
        <is>
          <t>Automated (Selenium)</t>
        </is>
      </c>
      <c r="I6" s="13" t="inlineStr">
        <is>
          <t>P2</t>
        </is>
      </c>
      <c r="J6" s="13" t="inlineStr">
        <is>
          <t>Medium</t>
        </is>
      </c>
      <c r="K6" s="15" t="inlineStr">
        <is>
          <t>PASSED</t>
        </is>
      </c>
    </row>
    <row r="7" ht="20" customHeight="1">
      <c r="A7" s="16" t="inlineStr">
        <is>
          <t>TC_LOG_006</t>
        </is>
      </c>
      <c r="B7" s="17" t="inlineStr">
        <is>
          <t>Functional - Valid Credentials</t>
        </is>
      </c>
      <c r="C7" s="17" t="inlineStr">
        <is>
          <t>Verify Valid Login via Remember Me Enabled</t>
        </is>
      </c>
      <c r="D7" s="17" t="inlineStr">
        <is>
          <t>Web server active, user account provisioned in database</t>
        </is>
      </c>
      <c r="E7" s="17" t="inlineStr">
        <is>
          <t>1. Navigate to /auth/login
2. Enter Username 'admin'
3. Enter Password 'admin123'
4. Click Submit / Press Enter</t>
        </is>
      </c>
      <c r="F7" s="17" t="inlineStr">
        <is>
          <t>Username=admin, Password=admin123</t>
        </is>
      </c>
      <c r="G7" s="17" t="inlineStr">
        <is>
          <t>System authenticates user successfully and redirects to Dashboard (/api/dashboard or /dashboard).</t>
        </is>
      </c>
      <c r="H7" s="16" t="inlineStr">
        <is>
          <t>Automated (Selenium)</t>
        </is>
      </c>
      <c r="I7" s="16" t="inlineStr">
        <is>
          <t>P2</t>
        </is>
      </c>
      <c r="J7" s="16" t="inlineStr">
        <is>
          <t>Medium</t>
        </is>
      </c>
      <c r="K7" s="15" t="inlineStr">
        <is>
          <t>PASSED</t>
        </is>
      </c>
    </row>
    <row r="8" ht="20" customHeight="1">
      <c r="A8" s="13" t="inlineStr">
        <is>
          <t>TC_LOG_007</t>
        </is>
      </c>
      <c r="B8" s="14" t="inlineStr">
        <is>
          <t>Functional - Valid Credentials</t>
        </is>
      </c>
      <c r="C8" s="14" t="inlineStr">
        <is>
          <t>Verify Valid Login after Forced Password Reset</t>
        </is>
      </c>
      <c r="D8" s="14" t="inlineStr">
        <is>
          <t>Web server active, user account provisioned in database</t>
        </is>
      </c>
      <c r="E8" s="14" t="inlineStr">
        <is>
          <t>1. Navigate to /auth/login
2. Enter Username 'reset_user'
3. Enter Password 'TempPass123!'
4. Click Submit / Press Enter</t>
        </is>
      </c>
      <c r="F8" s="14" t="inlineStr">
        <is>
          <t>Username=reset_user, Password=TempPass123!</t>
        </is>
      </c>
      <c r="G8" s="14" t="inlineStr">
        <is>
          <t>System authenticates user successfully and redirects to Dashboard (/api/dashboard or /dashboard).</t>
        </is>
      </c>
      <c r="H8" s="13" t="inlineStr">
        <is>
          <t>Automated (Selenium)</t>
        </is>
      </c>
      <c r="I8" s="13" t="inlineStr">
        <is>
          <t>P1</t>
        </is>
      </c>
      <c r="J8" s="13" t="inlineStr">
        <is>
          <t>High</t>
        </is>
      </c>
      <c r="K8" s="15" t="inlineStr">
        <is>
          <t>PASSED</t>
        </is>
      </c>
    </row>
    <row r="9" ht="20" customHeight="1">
      <c r="A9" s="16" t="inlineStr">
        <is>
          <t>TC_LOG_008</t>
        </is>
      </c>
      <c r="B9" s="17" t="inlineStr">
        <is>
          <t>Functional - Valid Credentials</t>
        </is>
      </c>
      <c r="C9" s="17" t="inlineStr">
        <is>
          <t>Verify Valid Credentials with Special Characters in Password</t>
        </is>
      </c>
      <c r="D9" s="17" t="inlineStr">
        <is>
          <t>Web server active, user account provisioned in database</t>
        </is>
      </c>
      <c r="E9" s="17" t="inlineStr">
        <is>
          <t>1. Navigate to /auth/login
2. Enter Username 'admin'
3. Enter Password 'P@$$w0rd#2026!$%^'
4. Click Submit / Press Enter</t>
        </is>
      </c>
      <c r="F9" s="17" t="inlineStr">
        <is>
          <t>Username=admin, Password=P@$$w0rd#2026!$%^</t>
        </is>
      </c>
      <c r="G9" s="17" t="inlineStr">
        <is>
          <t>System authenticates user successfully and redirects to Dashboard (/api/dashboard or /dashboard).</t>
        </is>
      </c>
      <c r="H9" s="16" t="inlineStr">
        <is>
          <t>Automated (Selenium)</t>
        </is>
      </c>
      <c r="I9" s="16" t="inlineStr">
        <is>
          <t>P2</t>
        </is>
      </c>
      <c r="J9" s="16" t="inlineStr">
        <is>
          <t>High</t>
        </is>
      </c>
      <c r="K9" s="15" t="inlineStr">
        <is>
          <t>PASSED</t>
        </is>
      </c>
    </row>
    <row r="10" ht="20" customHeight="1">
      <c r="A10" s="13" t="inlineStr">
        <is>
          <t>TC_LOG_009</t>
        </is>
      </c>
      <c r="B10" s="14" t="inlineStr">
        <is>
          <t>Functional - Valid Credentials</t>
        </is>
      </c>
      <c r="C10" s="14" t="inlineStr">
        <is>
          <t>Verify Valid Login with 64-char Max Length Username</t>
        </is>
      </c>
      <c r="D10" s="14" t="inlineStr">
        <is>
          <t>Web server active, user account provisioned in database</t>
        </is>
      </c>
      <c r="E10" s="14" t="inlineStr">
        <is>
          <t>1. Navigate to /auth/login
2. Enter Username 'aaaaaaaaaaaaaaaaaaaaaaaaaaaaaaaaaaaaaaaaaaaaaaaaaaaaaaaaaaaaaaaa'
3. Enter Password 'ValidPassword123'
4. Click Submit / Press Enter</t>
        </is>
      </c>
      <c r="F10" s="14" t="inlineStr">
        <is>
          <t>Username=aaaaaaaaaaaaaaaaaaaaaaaaaaaaaaaaaaaaaaaaaaaaaaaaaaaaaaaaaaaaaaaa, Password=ValidPassword123</t>
        </is>
      </c>
      <c r="G10" s="14" t="inlineStr">
        <is>
          <t>System authenticates user successfully and redirects to Dashboard (/api/dashboard or /dashboard).</t>
        </is>
      </c>
      <c r="H10" s="13" t="inlineStr">
        <is>
          <t>Automated (Selenium)</t>
        </is>
      </c>
      <c r="I10" s="13" t="inlineStr">
        <is>
          <t>P2</t>
        </is>
      </c>
      <c r="J10" s="13" t="inlineStr">
        <is>
          <t>Low</t>
        </is>
      </c>
      <c r="K10" s="15" t="inlineStr">
        <is>
          <t>PASSED</t>
        </is>
      </c>
    </row>
    <row r="11" ht="20" customHeight="1">
      <c r="A11" s="16" t="inlineStr">
        <is>
          <t>TC_LOG_010</t>
        </is>
      </c>
      <c r="B11" s="17" t="inlineStr">
        <is>
          <t>Functional - Valid Credentials</t>
        </is>
      </c>
      <c r="C11" s="17" t="inlineStr">
        <is>
          <t>Verify Valid Credentials with Numeric Username</t>
        </is>
      </c>
      <c r="D11" s="17" t="inlineStr">
        <is>
          <t>Web server active, user account provisioned in database</t>
        </is>
      </c>
      <c r="E11" s="17" t="inlineStr">
        <is>
          <t>1. Navigate to /auth/login
2. Enter Username '987654321'
3. Enter Password 'NumericPass123'
4. Click Submit / Press Enter</t>
        </is>
      </c>
      <c r="F11" s="17" t="inlineStr">
        <is>
          <t>Username=987654321, Password=NumericPass123</t>
        </is>
      </c>
      <c r="G11" s="17" t="inlineStr">
        <is>
          <t>System authenticates user successfully and redirects to Dashboard (/api/dashboard or /dashboard).</t>
        </is>
      </c>
      <c r="H11" s="16" t="inlineStr">
        <is>
          <t>Automated (Selenium)</t>
        </is>
      </c>
      <c r="I11" s="16" t="inlineStr">
        <is>
          <t>P3</t>
        </is>
      </c>
      <c r="J11" s="16" t="inlineStr">
        <is>
          <t>Low</t>
        </is>
      </c>
      <c r="K11" s="15" t="inlineStr">
        <is>
          <t>PASSED</t>
        </is>
      </c>
    </row>
    <row r="12" ht="20" customHeight="1">
      <c r="A12" s="13" t="inlineStr">
        <is>
          <t>TC_LOG_011</t>
        </is>
      </c>
      <c r="B12" s="14" t="inlineStr">
        <is>
          <t>Functional - Valid Credentials</t>
        </is>
      </c>
      <c r="C12" s="14" t="inlineStr">
        <is>
          <t>Verify Valid Login using Subdomain Domain Email</t>
        </is>
      </c>
      <c r="D12" s="14" t="inlineStr">
        <is>
          <t>Web server active, user account provisioned in database</t>
        </is>
      </c>
      <c r="E12" s="14" t="inlineStr">
        <is>
          <t>1. Navigate to /auth/login
2. Enter Username 'operator@sub.network.org'
3. Enter Password 'SubDomainPass!1'
4. Click Submit / Press Enter</t>
        </is>
      </c>
      <c r="F12" s="14" t="inlineStr">
        <is>
          <t>Username=operator@sub.network.org, Password=SubDomainPass!1</t>
        </is>
      </c>
      <c r="G12" s="14" t="inlineStr">
        <is>
          <t>System authenticates user successfully and redirects to Dashboard (/api/dashboard or /dashboard).</t>
        </is>
      </c>
      <c r="H12" s="13" t="inlineStr">
        <is>
          <t>Automated (Selenium)</t>
        </is>
      </c>
      <c r="I12" s="13" t="inlineStr">
        <is>
          <t>P2</t>
        </is>
      </c>
      <c r="J12" s="13" t="inlineStr">
        <is>
          <t>Medium</t>
        </is>
      </c>
      <c r="K12" s="15" t="inlineStr">
        <is>
          <t>PASSED</t>
        </is>
      </c>
    </row>
    <row r="13" ht="20" customHeight="1">
      <c r="A13" s="16" t="inlineStr">
        <is>
          <t>TC_LOG_012</t>
        </is>
      </c>
      <c r="B13" s="17" t="inlineStr">
        <is>
          <t>Functional - Valid Credentials</t>
        </is>
      </c>
      <c r="C13" s="17" t="inlineStr">
        <is>
          <t>Verify Valid Login with Non-English Unicode Display Name</t>
        </is>
      </c>
      <c r="D13" s="17" t="inlineStr">
        <is>
          <t>Web server active, user account provisioned in database</t>
        </is>
      </c>
      <c r="E13" s="17" t="inlineStr">
        <is>
          <t>1. Navigate to /auth/login
2. Enter Username 'operator_zh'
3. Enter Password 'PasswordChinese123'
4. Click Submit / Press Enter</t>
        </is>
      </c>
      <c r="F13" s="17" t="inlineStr">
        <is>
          <t>Username=operator_zh, Password=PasswordChinese123</t>
        </is>
      </c>
      <c r="G13" s="17" t="inlineStr">
        <is>
          <t>System authenticates user successfully and redirects to Dashboard (/api/dashboard or /dashboard).</t>
        </is>
      </c>
      <c r="H13" s="16" t="inlineStr">
        <is>
          <t>Automated (Selenium)</t>
        </is>
      </c>
      <c r="I13" s="16" t="inlineStr">
        <is>
          <t>P3</t>
        </is>
      </c>
      <c r="J13" s="16" t="inlineStr">
        <is>
          <t>Low</t>
        </is>
      </c>
      <c r="K13" s="15" t="inlineStr">
        <is>
          <t>PASSED</t>
        </is>
      </c>
    </row>
    <row r="14" ht="20" customHeight="1">
      <c r="A14" s="13" t="inlineStr">
        <is>
          <t>TC_LOG_013</t>
        </is>
      </c>
      <c r="B14" s="14" t="inlineStr">
        <is>
          <t>Functional - Valid Credentials</t>
        </is>
      </c>
      <c r="C14" s="14" t="inlineStr">
        <is>
          <t>Verify Valid Authentication via Enter Key</t>
        </is>
      </c>
      <c r="D14" s="14" t="inlineStr">
        <is>
          <t>Web server active, user account provisioned in database</t>
        </is>
      </c>
      <c r="E14" s="14" t="inlineStr">
        <is>
          <t>1. Navigate to /auth/login
2. Enter Username 'admin'
3. Enter Password 'admin123'
4. Click Submit / Press Enter</t>
        </is>
      </c>
      <c r="F14" s="14" t="inlineStr">
        <is>
          <t>Username=admin, Password=admin123</t>
        </is>
      </c>
      <c r="G14" s="14" t="inlineStr">
        <is>
          <t>System authenticates user successfully and redirects to Dashboard (/api/dashboard or /dashboard).</t>
        </is>
      </c>
      <c r="H14" s="13" t="inlineStr">
        <is>
          <t>Automated (Selenium)</t>
        </is>
      </c>
      <c r="I14" s="13" t="inlineStr">
        <is>
          <t>P1</t>
        </is>
      </c>
      <c r="J14" s="13" t="inlineStr">
        <is>
          <t>High</t>
        </is>
      </c>
      <c r="K14" s="15" t="inlineStr">
        <is>
          <t>PASSED</t>
        </is>
      </c>
    </row>
    <row r="15" ht="20" customHeight="1">
      <c r="A15" s="16" t="inlineStr">
        <is>
          <t>TC_LOG_014</t>
        </is>
      </c>
      <c r="B15" s="17" t="inlineStr">
        <is>
          <t>Functional - Valid Credentials</t>
        </is>
      </c>
      <c r="C15" s="17" t="inlineStr">
        <is>
          <t>Verify Valid Authentication via Login Button Click</t>
        </is>
      </c>
      <c r="D15" s="17" t="inlineStr">
        <is>
          <t>Web server active, user account provisioned in database</t>
        </is>
      </c>
      <c r="E15" s="17" t="inlineStr">
        <is>
          <t>1. Navigate to /auth/login
2. Enter Username 'admin'
3. Enter Password 'admin123'
4. Click Submit / Press Enter</t>
        </is>
      </c>
      <c r="F15" s="17" t="inlineStr">
        <is>
          <t>Username=admin, Password=admin123</t>
        </is>
      </c>
      <c r="G15" s="17" t="inlineStr">
        <is>
          <t>System authenticates user successfully and redirects to Dashboard (/api/dashboard or /dashboard).</t>
        </is>
      </c>
      <c r="H15" s="16" t="inlineStr">
        <is>
          <t>Automated (Selenium)</t>
        </is>
      </c>
      <c r="I15" s="16" t="inlineStr">
        <is>
          <t>P1</t>
        </is>
      </c>
      <c r="J15" s="16" t="inlineStr">
        <is>
          <t>High</t>
        </is>
      </c>
      <c r="K15" s="15" t="inlineStr">
        <is>
          <t>PASSED</t>
        </is>
      </c>
    </row>
    <row r="16" ht="20" customHeight="1">
      <c r="A16" s="13" t="inlineStr">
        <is>
          <t>TC_LOG_015</t>
        </is>
      </c>
      <c r="B16" s="14" t="inlineStr">
        <is>
          <t>Functional - Valid Credentials</t>
        </is>
      </c>
      <c r="C16" s="14" t="inlineStr">
        <is>
          <t>Verify Valid Credentials on Second Attempt after Typing Mistake</t>
        </is>
      </c>
      <c r="D16" s="14" t="inlineStr">
        <is>
          <t>Web server active, user account provisioned in database</t>
        </is>
      </c>
      <c r="E16" s="14" t="inlineStr">
        <is>
          <t>1. Navigate to /auth/login
2. Enter Username 'admin'
3. Enter Password 'admin123'
4. Click Submit / Press Enter</t>
        </is>
      </c>
      <c r="F16" s="14" t="inlineStr">
        <is>
          <t>Username=admin, Password=admin123</t>
        </is>
      </c>
      <c r="G16" s="14" t="inlineStr">
        <is>
          <t>System authenticates user successfully and redirects to Dashboard (/api/dashboard or /dashboard).</t>
        </is>
      </c>
      <c r="H16" s="13" t="inlineStr">
        <is>
          <t>Automated (Selenium)</t>
        </is>
      </c>
      <c r="I16" s="13" t="inlineStr">
        <is>
          <t>P2</t>
        </is>
      </c>
      <c r="J16" s="13" t="inlineStr">
        <is>
          <t>Medium</t>
        </is>
      </c>
      <c r="K16" s="15" t="inlineStr">
        <is>
          <t>PASSED</t>
        </is>
      </c>
    </row>
    <row r="17" ht="20" customHeight="1">
      <c r="A17" s="16" t="inlineStr">
        <is>
          <t>TC_LOG_016</t>
        </is>
      </c>
      <c r="B17" s="17" t="inlineStr">
        <is>
          <t>Functional - Valid Credentials</t>
        </is>
      </c>
      <c r="C17" s="17" t="inlineStr">
        <is>
          <t>Verify Valid Login with Multi-Factor Authentication Bypass Role</t>
        </is>
      </c>
      <c r="D17" s="17" t="inlineStr">
        <is>
          <t>Web server active, user account provisioned in database</t>
        </is>
      </c>
      <c r="E17" s="17" t="inlineStr">
        <is>
          <t>1. Navigate to /auth/login
2. Enter Username 'mfa_admin'
3. Enter Password 'AdminMFAPass2026!'
4. Click Submit / Press Enter</t>
        </is>
      </c>
      <c r="F17" s="17" t="inlineStr">
        <is>
          <t>Username=mfa_admin, Password=AdminMFAPass2026!</t>
        </is>
      </c>
      <c r="G17" s="17" t="inlineStr">
        <is>
          <t>System authenticates user successfully and redirects to Dashboard (/api/dashboard or /dashboard).</t>
        </is>
      </c>
      <c r="H17" s="16" t="inlineStr">
        <is>
          <t>Automated (Selenium)</t>
        </is>
      </c>
      <c r="I17" s="16" t="inlineStr">
        <is>
          <t>P1</t>
        </is>
      </c>
      <c r="J17" s="16" t="inlineStr">
        <is>
          <t>Critical</t>
        </is>
      </c>
      <c r="K17" s="15" t="inlineStr">
        <is>
          <t>AUTOMATED</t>
        </is>
      </c>
    </row>
    <row r="18" ht="20" customHeight="1">
      <c r="A18" s="13" t="inlineStr">
        <is>
          <t>TC_LOG_017</t>
        </is>
      </c>
      <c r="B18" s="14" t="inlineStr">
        <is>
          <t>Functional - Valid Credentials</t>
        </is>
      </c>
      <c r="C18" s="14" t="inlineStr">
        <is>
          <t>Verify Valid Login with Read-Only Operator Credentials</t>
        </is>
      </c>
      <c r="D18" s="14" t="inlineStr">
        <is>
          <t>Web server active, user account provisioned in database</t>
        </is>
      </c>
      <c r="E18" s="14" t="inlineStr">
        <is>
          <t>1. Navigate to /auth/login
2. Enter Username 'viewer_op'
3. Enter Password 'ViewerPassword123'
4. Click Submit / Press Enter</t>
        </is>
      </c>
      <c r="F18" s="14" t="inlineStr">
        <is>
          <t>Username=viewer_op, Password=ViewerPassword123</t>
        </is>
      </c>
      <c r="G18" s="14" t="inlineStr">
        <is>
          <t>System authenticates user successfully and redirects to Dashboard (/api/dashboard or /dashboard).</t>
        </is>
      </c>
      <c r="H18" s="13" t="inlineStr">
        <is>
          <t>Automated (Selenium)</t>
        </is>
      </c>
      <c r="I18" s="13" t="inlineStr">
        <is>
          <t>P2</t>
        </is>
      </c>
      <c r="J18" s="13" t="inlineStr">
        <is>
          <t>Medium</t>
        </is>
      </c>
      <c r="K18" s="15" t="inlineStr">
        <is>
          <t>AUTOMATED</t>
        </is>
      </c>
    </row>
    <row r="19" ht="20" customHeight="1">
      <c r="A19" s="16" t="inlineStr">
        <is>
          <t>TC_LOG_018</t>
        </is>
      </c>
      <c r="B19" s="17" t="inlineStr">
        <is>
          <t>Functional - Valid Credentials</t>
        </is>
      </c>
      <c r="C19" s="17" t="inlineStr">
        <is>
          <t>Verify Valid Login with Auditor Privileges</t>
        </is>
      </c>
      <c r="D19" s="17" t="inlineStr">
        <is>
          <t>Web server active, user account provisioned in database</t>
        </is>
      </c>
      <c r="E19" s="17" t="inlineStr">
        <is>
          <t>1. Navigate to /auth/login
2. Enter Username 'auditor_1'
3. Enter Password 'AuditPass!2026'
4. Click Submit / Press Enter</t>
        </is>
      </c>
      <c r="F19" s="17" t="inlineStr">
        <is>
          <t>Username=auditor_1, Password=AuditPass!2026</t>
        </is>
      </c>
      <c r="G19" s="17" t="inlineStr">
        <is>
          <t>System authenticates user successfully and redirects to Dashboard (/api/dashboard or /dashboard).</t>
        </is>
      </c>
      <c r="H19" s="16" t="inlineStr">
        <is>
          <t>Automated (Selenium)</t>
        </is>
      </c>
      <c r="I19" s="16" t="inlineStr">
        <is>
          <t>P2</t>
        </is>
      </c>
      <c r="J19" s="16" t="inlineStr">
        <is>
          <t>Medium</t>
        </is>
      </c>
      <c r="K19" s="15" t="inlineStr">
        <is>
          <t>AUTOMATED</t>
        </is>
      </c>
    </row>
    <row r="20" ht="20" customHeight="1">
      <c r="A20" s="13" t="inlineStr">
        <is>
          <t>TC_LOG_019</t>
        </is>
      </c>
      <c r="B20" s="14" t="inlineStr">
        <is>
          <t>Functional - Valid Credentials</t>
        </is>
      </c>
      <c r="C20" s="14" t="inlineStr">
        <is>
          <t>Verify Valid Login with System Service Account Credentials</t>
        </is>
      </c>
      <c r="D20" s="14" t="inlineStr">
        <is>
          <t>Web server active, user account provisioned in database</t>
        </is>
      </c>
      <c r="E20" s="14" t="inlineStr">
        <is>
          <t>1. Navigate to /auth/login
2. Enter Username 'svc_auth'
3. Enter Password 'SvcAccountPass!99'
4. Click Submit / Press Enter</t>
        </is>
      </c>
      <c r="F20" s="14" t="inlineStr">
        <is>
          <t>Username=svc_auth, Password=SvcAccountPass!99</t>
        </is>
      </c>
      <c r="G20" s="14" t="inlineStr">
        <is>
          <t>System authenticates user successfully and redirects to Dashboard (/api/dashboard or /dashboard).</t>
        </is>
      </c>
      <c r="H20" s="13" t="inlineStr">
        <is>
          <t>Automated (Selenium)</t>
        </is>
      </c>
      <c r="I20" s="13" t="inlineStr">
        <is>
          <t>P2</t>
        </is>
      </c>
      <c r="J20" s="13" t="inlineStr">
        <is>
          <t>High</t>
        </is>
      </c>
      <c r="K20" s="15" t="inlineStr">
        <is>
          <t>AUTOMATED</t>
        </is>
      </c>
    </row>
    <row r="21" ht="20" customHeight="1">
      <c r="A21" s="16" t="inlineStr">
        <is>
          <t>TC_LOG_020</t>
        </is>
      </c>
      <c r="B21" s="17" t="inlineStr">
        <is>
          <t>Functional - Valid Credentials</t>
        </is>
      </c>
      <c r="C21" s="17" t="inlineStr">
        <is>
          <t>Verify Valid Login with 128-char Long Valid Password</t>
        </is>
      </c>
      <c r="D21" s="17" t="inlineStr">
        <is>
          <t>Web server active, user account provisioned in database</t>
        </is>
      </c>
      <c r="E21" s="17" t="inlineStr">
        <is>
          <t>1. Navigate to /auth/login
2. Enter Username 'admin'
3. Enter Password 'PPPPPPPPPPPPPPPPPPPPPPPPPPPPPPPPPPPPPPPPPPPPPPPPPPPPPPPPPPPPPPPPPPPPPPPPPPPPPPPPPPPPPPPPPPPPPPPPPPPPPPPPPPPPPPPPPPPPPPPPPPPPPPPP'
4. Click Submit / Press Enter</t>
        </is>
      </c>
      <c r="F21" s="17" t="inlineStr">
        <is>
          <t>Username=admin, Password=PPPPPPPPPPPPPPPPPPPPPPPPPPPPPPPPPPPPPPPPPPPPPPPPPPPPPPPPPPPPPPPPPPPPPPPPPPPPPPPPPPPPPPPPPPPPPPPPPPPPPPPPPPPPPPPPPPPPPPPPPPPPPPPP</t>
        </is>
      </c>
      <c r="G21" s="17" t="inlineStr">
        <is>
          <t>System authenticates user successfully and redirects to Dashboard (/api/dashboard or /dashboard).</t>
        </is>
      </c>
      <c r="H21" s="16" t="inlineStr">
        <is>
          <t>Automated (Selenium)</t>
        </is>
      </c>
      <c r="I21" s="16" t="inlineStr">
        <is>
          <t>P3</t>
        </is>
      </c>
      <c r="J21" s="16" t="inlineStr">
        <is>
          <t>Low</t>
        </is>
      </c>
      <c r="K21" s="15" t="inlineStr">
        <is>
          <t>AUTOMATED</t>
        </is>
      </c>
    </row>
    <row r="22" ht="20" customHeight="1">
      <c r="A22" s="13" t="inlineStr">
        <is>
          <t>TC_LOG_021</t>
        </is>
      </c>
      <c r="B22" s="14" t="inlineStr">
        <is>
          <t>Functional - Valid Credentials</t>
        </is>
      </c>
      <c r="C22" s="14" t="inlineStr">
        <is>
          <t>Verify Valid Login following Session Timeout Expiry</t>
        </is>
      </c>
      <c r="D22" s="14" t="inlineStr">
        <is>
          <t>Web server active, user account provisioned in database</t>
        </is>
      </c>
      <c r="E22" s="14" t="inlineStr">
        <is>
          <t>1. Navigate to /auth/login
2. Enter Username 'admin'
3. Enter Password 'admin123'
4. Click Submit / Press Enter</t>
        </is>
      </c>
      <c r="F22" s="14" t="inlineStr">
        <is>
          <t>Username=admin, Password=admin123</t>
        </is>
      </c>
      <c r="G22" s="14" t="inlineStr">
        <is>
          <t>System authenticates user successfully and redirects to Dashboard (/api/dashboard or /dashboard).</t>
        </is>
      </c>
      <c r="H22" s="13" t="inlineStr">
        <is>
          <t>Automated (Selenium)</t>
        </is>
      </c>
      <c r="I22" s="13" t="inlineStr">
        <is>
          <t>P2</t>
        </is>
      </c>
      <c r="J22" s="13" t="inlineStr">
        <is>
          <t>Medium</t>
        </is>
      </c>
      <c r="K22" s="15" t="inlineStr">
        <is>
          <t>AUTOMATED</t>
        </is>
      </c>
    </row>
    <row r="23" ht="20" customHeight="1">
      <c r="A23" s="16" t="inlineStr">
        <is>
          <t>TC_LOG_022</t>
        </is>
      </c>
      <c r="B23" s="17" t="inlineStr">
        <is>
          <t>Functional - Valid Credentials</t>
        </is>
      </c>
      <c r="C23" s="17" t="inlineStr">
        <is>
          <t>Verify Valid Login with Copied-Pasted Password Field</t>
        </is>
      </c>
      <c r="D23" s="17" t="inlineStr">
        <is>
          <t>Web server active, user account provisioned in database</t>
        </is>
      </c>
      <c r="E23" s="17" t="inlineStr">
        <is>
          <t>1. Navigate to /auth/login
2. Enter Username 'admin'
3. Enter Password 'admin123'
4. Click Submit / Press Enter</t>
        </is>
      </c>
      <c r="F23" s="17" t="inlineStr">
        <is>
          <t>Username=admin, Password=admin123</t>
        </is>
      </c>
      <c r="G23" s="17" t="inlineStr">
        <is>
          <t>System authenticates user successfully and redirects to Dashboard (/api/dashboard or /dashboard).</t>
        </is>
      </c>
      <c r="H23" s="16" t="inlineStr">
        <is>
          <t>Automated (Selenium)</t>
        </is>
      </c>
      <c r="I23" s="16" t="inlineStr">
        <is>
          <t>P2</t>
        </is>
      </c>
      <c r="J23" s="16" t="inlineStr">
        <is>
          <t>Low</t>
        </is>
      </c>
      <c r="K23" s="15" t="inlineStr">
        <is>
          <t>AUTOMATED</t>
        </is>
      </c>
    </row>
    <row r="24" ht="20" customHeight="1">
      <c r="A24" s="13" t="inlineStr">
        <is>
          <t>TC_LOG_023</t>
        </is>
      </c>
      <c r="B24" s="14" t="inlineStr">
        <is>
          <t>Functional - Valid Credentials</t>
        </is>
      </c>
      <c r="C24" s="14" t="inlineStr">
        <is>
          <t>Verify Valid Login with Auto-filled Saved Browser Credentials</t>
        </is>
      </c>
      <c r="D24" s="14" t="inlineStr">
        <is>
          <t>Web server active, user account provisioned in database</t>
        </is>
      </c>
      <c r="E24" s="14" t="inlineStr">
        <is>
          <t>1. Navigate to /auth/login
2. Enter Username 'admin'
3. Enter Password 'admin123'
4. Click Submit / Press Enter</t>
        </is>
      </c>
      <c r="F24" s="14" t="inlineStr">
        <is>
          <t>Username=admin, Password=admin123</t>
        </is>
      </c>
      <c r="G24" s="14" t="inlineStr">
        <is>
          <t>System authenticates user successfully and redirects to Dashboard (/api/dashboard or /dashboard).</t>
        </is>
      </c>
      <c r="H24" s="13" t="inlineStr">
        <is>
          <t>Automated (Selenium)</t>
        </is>
      </c>
      <c r="I24" s="13" t="inlineStr">
        <is>
          <t>P3</t>
        </is>
      </c>
      <c r="J24" s="13" t="inlineStr">
        <is>
          <t>Low</t>
        </is>
      </c>
      <c r="K24" s="15" t="inlineStr">
        <is>
          <t>AUTOMATED</t>
        </is>
      </c>
    </row>
    <row r="25" ht="20" customHeight="1">
      <c r="A25" s="16" t="inlineStr">
        <is>
          <t>TC_LOG_024</t>
        </is>
      </c>
      <c r="B25" s="17" t="inlineStr">
        <is>
          <t>Functional - Valid Credentials</t>
        </is>
      </c>
      <c r="C25" s="17" t="inlineStr">
        <is>
          <t>Verify Valid Login with Low Bandwidth Network Throttle</t>
        </is>
      </c>
      <c r="D25" s="17" t="inlineStr">
        <is>
          <t>Web server active, user account provisioned in database</t>
        </is>
      </c>
      <c r="E25" s="17" t="inlineStr">
        <is>
          <t>1. Navigate to /auth/login
2. Enter Username 'admin'
3. Enter Password 'admin123'
4. Click Submit / Press Enter</t>
        </is>
      </c>
      <c r="F25" s="17" t="inlineStr">
        <is>
          <t>Username=admin, Password=admin123</t>
        </is>
      </c>
      <c r="G25" s="17" t="inlineStr">
        <is>
          <t>System authenticates user successfully and redirects to Dashboard (/api/dashboard or /dashboard).</t>
        </is>
      </c>
      <c r="H25" s="16" t="inlineStr">
        <is>
          <t>Automated (Selenium)</t>
        </is>
      </c>
      <c r="I25" s="16" t="inlineStr">
        <is>
          <t>P3</t>
        </is>
      </c>
      <c r="J25" s="16" t="inlineStr">
        <is>
          <t>Medium</t>
        </is>
      </c>
      <c r="K25" s="15" t="inlineStr">
        <is>
          <t>AUTOMATED</t>
        </is>
      </c>
    </row>
    <row r="26" ht="20" customHeight="1">
      <c r="A26" s="13" t="inlineStr">
        <is>
          <t>TC_LOG_025</t>
        </is>
      </c>
      <c r="B26" s="14" t="inlineStr">
        <is>
          <t>Functional - Valid Credentials</t>
        </is>
      </c>
      <c r="C26" s="14" t="inlineStr">
        <is>
          <t>Verify Valid Login Redirection to Request Parameter ReturnUrl</t>
        </is>
      </c>
      <c r="D26" s="14" t="inlineStr">
        <is>
          <t>Web server active, user account provisioned in database</t>
        </is>
      </c>
      <c r="E26" s="14" t="inlineStr">
        <is>
          <t>1. Navigate to /auth/login
2. Enter Username 'admin'
3. Enter Password 'admin123'
4. Click Submit / Press Enter</t>
        </is>
      </c>
      <c r="F26" s="14" t="inlineStr">
        <is>
          <t>Username=admin, Password=admin123</t>
        </is>
      </c>
      <c r="G26" s="14" t="inlineStr">
        <is>
          <t>System authenticates user successfully and redirects to Dashboard (/api/dashboard or /dashboard).</t>
        </is>
      </c>
      <c r="H26" s="13" t="inlineStr">
        <is>
          <t>Automated (Selenium)</t>
        </is>
      </c>
      <c r="I26" s="13" t="inlineStr">
        <is>
          <t>P2</t>
        </is>
      </c>
      <c r="J26" s="13" t="inlineStr">
        <is>
          <t>Medium</t>
        </is>
      </c>
      <c r="K26" s="15" t="inlineStr">
        <is>
          <t>AUTOMATED</t>
        </is>
      </c>
    </row>
    <row r="27" ht="20" customHeight="1">
      <c r="A27" s="16" t="inlineStr">
        <is>
          <t>TC_LOG_026</t>
        </is>
      </c>
      <c r="B27" s="17" t="inlineStr">
        <is>
          <t>Functional - Invalid Credentials</t>
        </is>
      </c>
      <c r="C27" s="17" t="inlineStr">
        <is>
          <t>Verify authentication failure for Invalid Login attempt #1 - Username: 'admin' / Password: 'invalid_pass_1'</t>
        </is>
      </c>
      <c r="D27" s="17" t="inlineStr">
        <is>
          <t>Login page loaded</t>
        </is>
      </c>
      <c r="E27" s="17" t="inlineStr">
        <is>
          <t>1. Open login URL
2. Enter 'admin' in Username
3. Enter 'invalid_pass_1' in Password
4. Submit form</t>
        </is>
      </c>
      <c r="F27" s="17" t="inlineStr">
        <is>
          <t>Username='admin', Password='invalid_pass_1'</t>
        </is>
      </c>
      <c r="G27" s="17" t="inlineStr">
        <is>
          <t>System denies login, remains on login page, and displays 'Invalid credentials' error banner.</t>
        </is>
      </c>
      <c r="H27" s="16" t="inlineStr">
        <is>
          <t>Automated (Selenium)</t>
        </is>
      </c>
      <c r="I27" s="16" t="inlineStr">
        <is>
          <t>P1</t>
        </is>
      </c>
      <c r="J27" s="16" t="inlineStr">
        <is>
          <t>High</t>
        </is>
      </c>
      <c r="K27" s="15" t="inlineStr">
        <is>
          <t>PASSED</t>
        </is>
      </c>
    </row>
    <row r="28" ht="20" customHeight="1">
      <c r="A28" s="13" t="inlineStr">
        <is>
          <t>TC_LOG_027</t>
        </is>
      </c>
      <c r="B28" s="14" t="inlineStr">
        <is>
          <t>Functional - Invalid Credentials</t>
        </is>
      </c>
      <c r="C28" s="14" t="inlineStr">
        <is>
          <t>Verify authentication failure for Invalid Login attempt #2 - Username: 'fake_user_2' / Password: 'wrong_pass'</t>
        </is>
      </c>
      <c r="D28" s="14" t="inlineStr">
        <is>
          <t>Login page loaded</t>
        </is>
      </c>
      <c r="E28" s="14" t="inlineStr">
        <is>
          <t>1. Open login URL
2. Enter 'fake_user_2' in Username
3. Enter 'wrong_pass' in Password
4. Submit form</t>
        </is>
      </c>
      <c r="F28" s="14" t="inlineStr">
        <is>
          <t>Username='fake_user_2', Password='wrong_pass'</t>
        </is>
      </c>
      <c r="G28" s="14" t="inlineStr">
        <is>
          <t>System denies login, remains on login page, and displays 'Invalid credentials' error banner.</t>
        </is>
      </c>
      <c r="H28" s="13" t="inlineStr">
        <is>
          <t>Automated (Selenium)</t>
        </is>
      </c>
      <c r="I28" s="13" t="inlineStr">
        <is>
          <t>P1</t>
        </is>
      </c>
      <c r="J28" s="13" t="inlineStr">
        <is>
          <t>High</t>
        </is>
      </c>
      <c r="K28" s="15" t="inlineStr">
        <is>
          <t>PASSED</t>
        </is>
      </c>
    </row>
    <row r="29" ht="20" customHeight="1">
      <c r="A29" s="16" t="inlineStr">
        <is>
          <t>TC_LOG_028</t>
        </is>
      </c>
      <c r="B29" s="17" t="inlineStr">
        <is>
          <t>Functional - Invalid Credentials</t>
        </is>
      </c>
      <c r="C29" s="17" t="inlineStr">
        <is>
          <t>Verify authentication failure for Invalid Login attempt #3 - Username: 'admin' / Password: 'invalid_pass_3'</t>
        </is>
      </c>
      <c r="D29" s="17" t="inlineStr">
        <is>
          <t>Login page loaded</t>
        </is>
      </c>
      <c r="E29" s="17" t="inlineStr">
        <is>
          <t>1. Open login URL
2. Enter 'admin' in Username
3. Enter 'invalid_pass_3' in Password
4. Submit form</t>
        </is>
      </c>
      <c r="F29" s="17" t="inlineStr">
        <is>
          <t>Username='admin', Password='invalid_pass_3'</t>
        </is>
      </c>
      <c r="G29" s="17" t="inlineStr">
        <is>
          <t>System denies login, remains on login page, and displays 'Invalid credentials' error banner.</t>
        </is>
      </c>
      <c r="H29" s="16" t="inlineStr">
        <is>
          <t>Automated (Selenium)</t>
        </is>
      </c>
      <c r="I29" s="16" t="inlineStr">
        <is>
          <t>P1</t>
        </is>
      </c>
      <c r="J29" s="16" t="inlineStr">
        <is>
          <t>High</t>
        </is>
      </c>
      <c r="K29" s="15" t="inlineStr">
        <is>
          <t>PASSED</t>
        </is>
      </c>
    </row>
    <row r="30" ht="20" customHeight="1">
      <c r="A30" s="13" t="inlineStr">
        <is>
          <t>TC_LOG_029</t>
        </is>
      </c>
      <c r="B30" s="14" t="inlineStr">
        <is>
          <t>Functional - Invalid Credentials</t>
        </is>
      </c>
      <c r="C30" s="14" t="inlineStr">
        <is>
          <t>Verify authentication failure for Invalid Login attempt #4 - Username: 'fake_user_4' / Password: 'wrong_pass'</t>
        </is>
      </c>
      <c r="D30" s="14" t="inlineStr">
        <is>
          <t>Login page loaded</t>
        </is>
      </c>
      <c r="E30" s="14" t="inlineStr">
        <is>
          <t>1. Open login URL
2. Enter 'fake_user_4' in Username
3. Enter 'wrong_pass' in Password
4. Submit form</t>
        </is>
      </c>
      <c r="F30" s="14" t="inlineStr">
        <is>
          <t>Username='fake_user_4', Password='wrong_pass'</t>
        </is>
      </c>
      <c r="G30" s="14" t="inlineStr">
        <is>
          <t>System denies login, remains on login page, and displays 'Invalid credentials' error banner.</t>
        </is>
      </c>
      <c r="H30" s="13" t="inlineStr">
        <is>
          <t>Automated (Selenium)</t>
        </is>
      </c>
      <c r="I30" s="13" t="inlineStr">
        <is>
          <t>P1</t>
        </is>
      </c>
      <c r="J30" s="13" t="inlineStr">
        <is>
          <t>High</t>
        </is>
      </c>
      <c r="K30" s="15" t="inlineStr">
        <is>
          <t>PASSED</t>
        </is>
      </c>
    </row>
    <row r="31" ht="20" customHeight="1">
      <c r="A31" s="16" t="inlineStr">
        <is>
          <t>TC_LOG_030</t>
        </is>
      </c>
      <c r="B31" s="17" t="inlineStr">
        <is>
          <t>Functional - Invalid Credentials</t>
        </is>
      </c>
      <c r="C31" s="17" t="inlineStr">
        <is>
          <t>Verify authentication failure for Invalid Login attempt #5 - Username: 'admin' / Password: 'invalid_pass_5'</t>
        </is>
      </c>
      <c r="D31" s="17" t="inlineStr">
        <is>
          <t>Login page loaded</t>
        </is>
      </c>
      <c r="E31" s="17" t="inlineStr">
        <is>
          <t>1. Open login URL
2. Enter 'admin' in Username
3. Enter 'invalid_pass_5' in Password
4. Submit form</t>
        </is>
      </c>
      <c r="F31" s="17" t="inlineStr">
        <is>
          <t>Username='admin', Password='invalid_pass_5'</t>
        </is>
      </c>
      <c r="G31" s="17" t="inlineStr">
        <is>
          <t>System denies login, remains on login page, and displays 'Invalid credentials' error banner.</t>
        </is>
      </c>
      <c r="H31" s="16" t="inlineStr">
        <is>
          <t>Automated (Selenium)</t>
        </is>
      </c>
      <c r="I31" s="16" t="inlineStr">
        <is>
          <t>P1</t>
        </is>
      </c>
      <c r="J31" s="16" t="inlineStr">
        <is>
          <t>High</t>
        </is>
      </c>
      <c r="K31" s="15" t="inlineStr">
        <is>
          <t>PASSED</t>
        </is>
      </c>
    </row>
    <row r="32" ht="20" customHeight="1">
      <c r="A32" s="13" t="inlineStr">
        <is>
          <t>TC_LOG_031</t>
        </is>
      </c>
      <c r="B32" s="14" t="inlineStr">
        <is>
          <t>Functional - Invalid Credentials</t>
        </is>
      </c>
      <c r="C32" s="14" t="inlineStr">
        <is>
          <t>Verify authentication failure for Invalid Login attempt #6 - Username: 'fake_user_6' / Password: 'wrong_pass'</t>
        </is>
      </c>
      <c r="D32" s="14" t="inlineStr">
        <is>
          <t>Login page loaded</t>
        </is>
      </c>
      <c r="E32" s="14" t="inlineStr">
        <is>
          <t>1. Open login URL
2. Enter 'fake_user_6' in Username
3. Enter 'wrong_pass' in Password
4. Submit form</t>
        </is>
      </c>
      <c r="F32" s="14" t="inlineStr">
        <is>
          <t>Username='fake_user_6', Password='wrong_pass'</t>
        </is>
      </c>
      <c r="G32" s="14" t="inlineStr">
        <is>
          <t>System denies login, remains on login page, and displays 'Invalid credentials' error banner.</t>
        </is>
      </c>
      <c r="H32" s="13" t="inlineStr">
        <is>
          <t>Automated (Selenium)</t>
        </is>
      </c>
      <c r="I32" s="13" t="inlineStr">
        <is>
          <t>P1</t>
        </is>
      </c>
      <c r="J32" s="13" t="inlineStr">
        <is>
          <t>High</t>
        </is>
      </c>
      <c r="K32" s="15" t="inlineStr">
        <is>
          <t>PASSED</t>
        </is>
      </c>
    </row>
    <row r="33" ht="20" customHeight="1">
      <c r="A33" s="16" t="inlineStr">
        <is>
          <t>TC_LOG_032</t>
        </is>
      </c>
      <c r="B33" s="17" t="inlineStr">
        <is>
          <t>Functional - Invalid Credentials</t>
        </is>
      </c>
      <c r="C33" s="17" t="inlineStr">
        <is>
          <t>Verify authentication failure for Invalid Login attempt #7 - Username: 'admin' / Password: 'invalid_pass_7'</t>
        </is>
      </c>
      <c r="D33" s="17" t="inlineStr">
        <is>
          <t>Login page loaded</t>
        </is>
      </c>
      <c r="E33" s="17" t="inlineStr">
        <is>
          <t>1. Open login URL
2. Enter 'admin' in Username
3. Enter 'invalid_pass_7' in Password
4. Submit form</t>
        </is>
      </c>
      <c r="F33" s="17" t="inlineStr">
        <is>
          <t>Username='admin', Password='invalid_pass_7'</t>
        </is>
      </c>
      <c r="G33" s="17" t="inlineStr">
        <is>
          <t>System denies login, remains on login page, and displays 'Invalid credentials' error banner.</t>
        </is>
      </c>
      <c r="H33" s="16" t="inlineStr">
        <is>
          <t>Automated (Selenium)</t>
        </is>
      </c>
      <c r="I33" s="16" t="inlineStr">
        <is>
          <t>P1</t>
        </is>
      </c>
      <c r="J33" s="16" t="inlineStr">
        <is>
          <t>High</t>
        </is>
      </c>
      <c r="K33" s="15" t="inlineStr">
        <is>
          <t>PASSED</t>
        </is>
      </c>
    </row>
    <row r="34" ht="20" customHeight="1">
      <c r="A34" s="13" t="inlineStr">
        <is>
          <t>TC_LOG_033</t>
        </is>
      </c>
      <c r="B34" s="14" t="inlineStr">
        <is>
          <t>Functional - Invalid Credentials</t>
        </is>
      </c>
      <c r="C34" s="14" t="inlineStr">
        <is>
          <t>Verify authentication failure for Invalid Login attempt #8 - Username: 'fake_user_8' / Password: 'wrong_pass'</t>
        </is>
      </c>
      <c r="D34" s="14" t="inlineStr">
        <is>
          <t>Login page loaded</t>
        </is>
      </c>
      <c r="E34" s="14" t="inlineStr">
        <is>
          <t>1. Open login URL
2. Enter 'fake_user_8' in Username
3. Enter 'wrong_pass' in Password
4. Submit form</t>
        </is>
      </c>
      <c r="F34" s="14" t="inlineStr">
        <is>
          <t>Username='fake_user_8', Password='wrong_pass'</t>
        </is>
      </c>
      <c r="G34" s="14" t="inlineStr">
        <is>
          <t>System denies login, remains on login page, and displays 'Invalid credentials' error banner.</t>
        </is>
      </c>
      <c r="H34" s="13" t="inlineStr">
        <is>
          <t>Automated (Selenium)</t>
        </is>
      </c>
      <c r="I34" s="13" t="inlineStr">
        <is>
          <t>P1</t>
        </is>
      </c>
      <c r="J34" s="13" t="inlineStr">
        <is>
          <t>High</t>
        </is>
      </c>
      <c r="K34" s="15" t="inlineStr">
        <is>
          <t>PASSED</t>
        </is>
      </c>
    </row>
    <row r="35" ht="20" customHeight="1">
      <c r="A35" s="16" t="inlineStr">
        <is>
          <t>TC_LOG_034</t>
        </is>
      </c>
      <c r="B35" s="17" t="inlineStr">
        <is>
          <t>Functional - Invalid Credentials</t>
        </is>
      </c>
      <c r="C35" s="17" t="inlineStr">
        <is>
          <t>Verify authentication failure for Invalid Login attempt #9 - Username: 'admin' / Password: 'invalid_pass_9'</t>
        </is>
      </c>
      <c r="D35" s="17" t="inlineStr">
        <is>
          <t>Login page loaded</t>
        </is>
      </c>
      <c r="E35" s="17" t="inlineStr">
        <is>
          <t>1. Open login URL
2. Enter 'admin' in Username
3. Enter 'invalid_pass_9' in Password
4. Submit form</t>
        </is>
      </c>
      <c r="F35" s="17" t="inlineStr">
        <is>
          <t>Username='admin', Password='invalid_pass_9'</t>
        </is>
      </c>
      <c r="G35" s="17" t="inlineStr">
        <is>
          <t>System denies login, remains on login page, and displays 'Invalid credentials' error banner.</t>
        </is>
      </c>
      <c r="H35" s="16" t="inlineStr">
        <is>
          <t>Automated (Selenium)</t>
        </is>
      </c>
      <c r="I35" s="16" t="inlineStr">
        <is>
          <t>P1</t>
        </is>
      </c>
      <c r="J35" s="16" t="inlineStr">
        <is>
          <t>High</t>
        </is>
      </c>
      <c r="K35" s="15" t="inlineStr">
        <is>
          <t>PASSED</t>
        </is>
      </c>
    </row>
    <row r="36" ht="20" customHeight="1">
      <c r="A36" s="13" t="inlineStr">
        <is>
          <t>TC_LOG_035</t>
        </is>
      </c>
      <c r="B36" s="14" t="inlineStr">
        <is>
          <t>Functional - Invalid Credentials</t>
        </is>
      </c>
      <c r="C36" s="14" t="inlineStr">
        <is>
          <t>Verify authentication failure for Invalid Login attempt #10 - Username: 'fake_user_10' / Password: 'wrong_pass'</t>
        </is>
      </c>
      <c r="D36" s="14" t="inlineStr">
        <is>
          <t>Login page loaded</t>
        </is>
      </c>
      <c r="E36" s="14" t="inlineStr">
        <is>
          <t>1. Open login URL
2. Enter 'fake_user_10' in Username
3. Enter 'wrong_pass' in Password
4. Submit form</t>
        </is>
      </c>
      <c r="F36" s="14" t="inlineStr">
        <is>
          <t>Username='fake_user_10', Password='wrong_pass'</t>
        </is>
      </c>
      <c r="G36" s="14" t="inlineStr">
        <is>
          <t>System denies login, remains on login page, and displays 'Invalid credentials' error banner.</t>
        </is>
      </c>
      <c r="H36" s="13" t="inlineStr">
        <is>
          <t>Automated (Selenium)</t>
        </is>
      </c>
      <c r="I36" s="13" t="inlineStr">
        <is>
          <t>P1</t>
        </is>
      </c>
      <c r="J36" s="13" t="inlineStr">
        <is>
          <t>High</t>
        </is>
      </c>
      <c r="K36" s="15" t="inlineStr">
        <is>
          <t>PASSED</t>
        </is>
      </c>
    </row>
    <row r="37" ht="20" customHeight="1">
      <c r="A37" s="16" t="inlineStr">
        <is>
          <t>TC_LOG_036</t>
        </is>
      </c>
      <c r="B37" s="17" t="inlineStr">
        <is>
          <t>Functional - Invalid Credentials</t>
        </is>
      </c>
      <c r="C37" s="17" t="inlineStr">
        <is>
          <t>Verify authentication failure for Invalid Login attempt #11 - Username: 'admin' / Password: 'invalid_pass_11'</t>
        </is>
      </c>
      <c r="D37" s="17" t="inlineStr">
        <is>
          <t>Login page loaded</t>
        </is>
      </c>
      <c r="E37" s="17" t="inlineStr">
        <is>
          <t>1. Open login URL
2. Enter 'admin' in Username
3. Enter 'invalid_pass_11' in Password
4. Submit form</t>
        </is>
      </c>
      <c r="F37" s="17" t="inlineStr">
        <is>
          <t>Username='admin', Password='invalid_pass_11'</t>
        </is>
      </c>
      <c r="G37" s="17" t="inlineStr">
        <is>
          <t>System denies login, remains on login page, and displays 'Invalid credentials' error banner.</t>
        </is>
      </c>
      <c r="H37" s="16" t="inlineStr">
        <is>
          <t>Automated (Selenium)</t>
        </is>
      </c>
      <c r="I37" s="16" t="inlineStr">
        <is>
          <t>P2</t>
        </is>
      </c>
      <c r="J37" s="16" t="inlineStr">
        <is>
          <t>Medium</t>
        </is>
      </c>
      <c r="K37" s="15" t="inlineStr">
        <is>
          <t>PASSED</t>
        </is>
      </c>
    </row>
    <row r="38" ht="20" customHeight="1">
      <c r="A38" s="13" t="inlineStr">
        <is>
          <t>TC_LOG_037</t>
        </is>
      </c>
      <c r="B38" s="14" t="inlineStr">
        <is>
          <t>Functional - Invalid Credentials</t>
        </is>
      </c>
      <c r="C38" s="14" t="inlineStr">
        <is>
          <t>Verify authentication failure for Invalid Login attempt #12 - Username: 'fake_user_12' / Password: 'wrong_pass'</t>
        </is>
      </c>
      <c r="D38" s="14" t="inlineStr">
        <is>
          <t>Login page loaded</t>
        </is>
      </c>
      <c r="E38" s="14" t="inlineStr">
        <is>
          <t>1. Open login URL
2. Enter 'fake_user_12' in Username
3. Enter 'wrong_pass' in Password
4. Submit form</t>
        </is>
      </c>
      <c r="F38" s="14" t="inlineStr">
        <is>
          <t>Username='fake_user_12', Password='wrong_pass'</t>
        </is>
      </c>
      <c r="G38" s="14" t="inlineStr">
        <is>
          <t>System denies login, remains on login page, and displays 'Invalid credentials' error banner.</t>
        </is>
      </c>
      <c r="H38" s="13" t="inlineStr">
        <is>
          <t>Automated (Selenium)</t>
        </is>
      </c>
      <c r="I38" s="13" t="inlineStr">
        <is>
          <t>P2</t>
        </is>
      </c>
      <c r="J38" s="13" t="inlineStr">
        <is>
          <t>Medium</t>
        </is>
      </c>
      <c r="K38" s="15" t="inlineStr">
        <is>
          <t>PASSED</t>
        </is>
      </c>
    </row>
    <row r="39" ht="20" customHeight="1">
      <c r="A39" s="16" t="inlineStr">
        <is>
          <t>TC_LOG_038</t>
        </is>
      </c>
      <c r="B39" s="17" t="inlineStr">
        <is>
          <t>Functional - Invalid Credentials</t>
        </is>
      </c>
      <c r="C39" s="17" t="inlineStr">
        <is>
          <t>Verify authentication failure for Invalid Login attempt #13 - Username: 'admin' / Password: 'invalid_pass_13'</t>
        </is>
      </c>
      <c r="D39" s="17" t="inlineStr">
        <is>
          <t>Login page loaded</t>
        </is>
      </c>
      <c r="E39" s="17" t="inlineStr">
        <is>
          <t>1. Open login URL
2. Enter 'admin' in Username
3. Enter 'invalid_pass_13' in Password
4. Submit form</t>
        </is>
      </c>
      <c r="F39" s="17" t="inlineStr">
        <is>
          <t>Username='admin', Password='invalid_pass_13'</t>
        </is>
      </c>
      <c r="G39" s="17" t="inlineStr">
        <is>
          <t>System denies login, remains on login page, and displays 'Invalid credentials' error banner.</t>
        </is>
      </c>
      <c r="H39" s="16" t="inlineStr">
        <is>
          <t>Automated (Selenium)</t>
        </is>
      </c>
      <c r="I39" s="16" t="inlineStr">
        <is>
          <t>P2</t>
        </is>
      </c>
      <c r="J39" s="16" t="inlineStr">
        <is>
          <t>Medium</t>
        </is>
      </c>
      <c r="K39" s="15" t="inlineStr">
        <is>
          <t>AUTOMATED</t>
        </is>
      </c>
    </row>
    <row r="40" ht="20" customHeight="1">
      <c r="A40" s="13" t="inlineStr">
        <is>
          <t>TC_LOG_039</t>
        </is>
      </c>
      <c r="B40" s="14" t="inlineStr">
        <is>
          <t>Functional - Invalid Credentials</t>
        </is>
      </c>
      <c r="C40" s="14" t="inlineStr">
        <is>
          <t>Verify authentication failure for Invalid Login attempt #14 - Username: 'fake_user_14' / Password: 'wrong_pass'</t>
        </is>
      </c>
      <c r="D40" s="14" t="inlineStr">
        <is>
          <t>Login page loaded</t>
        </is>
      </c>
      <c r="E40" s="14" t="inlineStr">
        <is>
          <t>1. Open login URL
2. Enter 'fake_user_14' in Username
3. Enter 'wrong_pass' in Password
4. Submit form</t>
        </is>
      </c>
      <c r="F40" s="14" t="inlineStr">
        <is>
          <t>Username='fake_user_14', Password='wrong_pass'</t>
        </is>
      </c>
      <c r="G40" s="14" t="inlineStr">
        <is>
          <t>System denies login, remains on login page, and displays 'Invalid credentials' error banner.</t>
        </is>
      </c>
      <c r="H40" s="13" t="inlineStr">
        <is>
          <t>Automated (Selenium)</t>
        </is>
      </c>
      <c r="I40" s="13" t="inlineStr">
        <is>
          <t>P2</t>
        </is>
      </c>
      <c r="J40" s="13" t="inlineStr">
        <is>
          <t>Medium</t>
        </is>
      </c>
      <c r="K40" s="15" t="inlineStr">
        <is>
          <t>AUTOMATED</t>
        </is>
      </c>
    </row>
    <row r="41" ht="20" customHeight="1">
      <c r="A41" s="16" t="inlineStr">
        <is>
          <t>TC_LOG_040</t>
        </is>
      </c>
      <c r="B41" s="17" t="inlineStr">
        <is>
          <t>Functional - Invalid Credentials</t>
        </is>
      </c>
      <c r="C41" s="17" t="inlineStr">
        <is>
          <t>Verify authentication failure for Invalid Login attempt #15 - Username: 'admin' / Password: 'invalid_pass_15'</t>
        </is>
      </c>
      <c r="D41" s="17" t="inlineStr">
        <is>
          <t>Login page loaded</t>
        </is>
      </c>
      <c r="E41" s="17" t="inlineStr">
        <is>
          <t>1. Open login URL
2. Enter 'admin' in Username
3. Enter 'invalid_pass_15' in Password
4. Submit form</t>
        </is>
      </c>
      <c r="F41" s="17" t="inlineStr">
        <is>
          <t>Username='admin', Password='invalid_pass_15'</t>
        </is>
      </c>
      <c r="G41" s="17" t="inlineStr">
        <is>
          <t>System denies login, remains on login page, and displays 'Invalid credentials' error banner.</t>
        </is>
      </c>
      <c r="H41" s="16" t="inlineStr">
        <is>
          <t>Automated (Selenium)</t>
        </is>
      </c>
      <c r="I41" s="16" t="inlineStr">
        <is>
          <t>P2</t>
        </is>
      </c>
      <c r="J41" s="16" t="inlineStr">
        <is>
          <t>Medium</t>
        </is>
      </c>
      <c r="K41" s="15" t="inlineStr">
        <is>
          <t>AUTOMATED</t>
        </is>
      </c>
    </row>
    <row r="42" ht="20" customHeight="1">
      <c r="A42" s="13" t="inlineStr">
        <is>
          <t>TC_LOG_041</t>
        </is>
      </c>
      <c r="B42" s="14" t="inlineStr">
        <is>
          <t>Functional - Invalid Credentials</t>
        </is>
      </c>
      <c r="C42" s="14" t="inlineStr">
        <is>
          <t>Verify authentication failure for Invalid Login attempt #16 - Username: 'fake_user_16' / Password: 'wrong_pass'</t>
        </is>
      </c>
      <c r="D42" s="14" t="inlineStr">
        <is>
          <t>Login page loaded</t>
        </is>
      </c>
      <c r="E42" s="14" t="inlineStr">
        <is>
          <t>1. Open login URL
2. Enter 'fake_user_16' in Username
3. Enter 'wrong_pass' in Password
4. Submit form</t>
        </is>
      </c>
      <c r="F42" s="14" t="inlineStr">
        <is>
          <t>Username='fake_user_16', Password='wrong_pass'</t>
        </is>
      </c>
      <c r="G42" s="14" t="inlineStr">
        <is>
          <t>System denies login, remains on login page, and displays 'Invalid credentials' error banner.</t>
        </is>
      </c>
      <c r="H42" s="13" t="inlineStr">
        <is>
          <t>Automated (Selenium)</t>
        </is>
      </c>
      <c r="I42" s="13" t="inlineStr">
        <is>
          <t>P2</t>
        </is>
      </c>
      <c r="J42" s="13" t="inlineStr">
        <is>
          <t>Medium</t>
        </is>
      </c>
      <c r="K42" s="15" t="inlineStr">
        <is>
          <t>AUTOMATED</t>
        </is>
      </c>
    </row>
    <row r="43" ht="20" customHeight="1">
      <c r="A43" s="16" t="inlineStr">
        <is>
          <t>TC_LOG_042</t>
        </is>
      </c>
      <c r="B43" s="17" t="inlineStr">
        <is>
          <t>Functional - Invalid Credentials</t>
        </is>
      </c>
      <c r="C43" s="17" t="inlineStr">
        <is>
          <t>Verify authentication failure for Invalid Login attempt #17 - Username: 'admin' / Password: 'invalid_pass_17'</t>
        </is>
      </c>
      <c r="D43" s="17" t="inlineStr">
        <is>
          <t>Login page loaded</t>
        </is>
      </c>
      <c r="E43" s="17" t="inlineStr">
        <is>
          <t>1. Open login URL
2. Enter 'admin' in Username
3. Enter 'invalid_pass_17' in Password
4. Submit form</t>
        </is>
      </c>
      <c r="F43" s="17" t="inlineStr">
        <is>
          <t>Username='admin', Password='invalid_pass_17'</t>
        </is>
      </c>
      <c r="G43" s="17" t="inlineStr">
        <is>
          <t>System denies login, remains on login page, and displays 'Invalid credentials' error banner.</t>
        </is>
      </c>
      <c r="H43" s="16" t="inlineStr">
        <is>
          <t>Automated (Selenium)</t>
        </is>
      </c>
      <c r="I43" s="16" t="inlineStr">
        <is>
          <t>P2</t>
        </is>
      </c>
      <c r="J43" s="16" t="inlineStr">
        <is>
          <t>Medium</t>
        </is>
      </c>
      <c r="K43" s="15" t="inlineStr">
        <is>
          <t>AUTOMATED</t>
        </is>
      </c>
    </row>
    <row r="44" ht="20" customHeight="1">
      <c r="A44" s="13" t="inlineStr">
        <is>
          <t>TC_LOG_043</t>
        </is>
      </c>
      <c r="B44" s="14" t="inlineStr">
        <is>
          <t>Functional - Invalid Credentials</t>
        </is>
      </c>
      <c r="C44" s="14" t="inlineStr">
        <is>
          <t>Verify authentication failure for Invalid Login attempt #18 - Username: 'fake_user_18' / Password: 'wrong_pass'</t>
        </is>
      </c>
      <c r="D44" s="14" t="inlineStr">
        <is>
          <t>Login page loaded</t>
        </is>
      </c>
      <c r="E44" s="14" t="inlineStr">
        <is>
          <t>1. Open login URL
2. Enter 'fake_user_18' in Username
3. Enter 'wrong_pass' in Password
4. Submit form</t>
        </is>
      </c>
      <c r="F44" s="14" t="inlineStr">
        <is>
          <t>Username='fake_user_18', Password='wrong_pass'</t>
        </is>
      </c>
      <c r="G44" s="14" t="inlineStr">
        <is>
          <t>System denies login, remains on login page, and displays 'Invalid credentials' error banner.</t>
        </is>
      </c>
      <c r="H44" s="13" t="inlineStr">
        <is>
          <t>Automated (Selenium)</t>
        </is>
      </c>
      <c r="I44" s="13" t="inlineStr">
        <is>
          <t>P2</t>
        </is>
      </c>
      <c r="J44" s="13" t="inlineStr">
        <is>
          <t>Medium</t>
        </is>
      </c>
      <c r="K44" s="15" t="inlineStr">
        <is>
          <t>AUTOMATED</t>
        </is>
      </c>
    </row>
    <row r="45" ht="20" customHeight="1">
      <c r="A45" s="16" t="inlineStr">
        <is>
          <t>TC_LOG_044</t>
        </is>
      </c>
      <c r="B45" s="17" t="inlineStr">
        <is>
          <t>Functional - Invalid Credentials</t>
        </is>
      </c>
      <c r="C45" s="17" t="inlineStr">
        <is>
          <t>Verify authentication failure for Invalid Login attempt #19 - Username: 'admin' / Password: 'invalid_pass_19'</t>
        </is>
      </c>
      <c r="D45" s="17" t="inlineStr">
        <is>
          <t>Login page loaded</t>
        </is>
      </c>
      <c r="E45" s="17" t="inlineStr">
        <is>
          <t>1. Open login URL
2. Enter 'admin' in Username
3. Enter 'invalid_pass_19' in Password
4. Submit form</t>
        </is>
      </c>
      <c r="F45" s="17" t="inlineStr">
        <is>
          <t>Username='admin', Password='invalid_pass_19'</t>
        </is>
      </c>
      <c r="G45" s="17" t="inlineStr">
        <is>
          <t>System denies login, remains on login page, and displays 'Invalid credentials' error banner.</t>
        </is>
      </c>
      <c r="H45" s="16" t="inlineStr">
        <is>
          <t>Automated (Selenium)</t>
        </is>
      </c>
      <c r="I45" s="16" t="inlineStr">
        <is>
          <t>P2</t>
        </is>
      </c>
      <c r="J45" s="16" t="inlineStr">
        <is>
          <t>Medium</t>
        </is>
      </c>
      <c r="K45" s="15" t="inlineStr">
        <is>
          <t>AUTOMATED</t>
        </is>
      </c>
    </row>
    <row r="46" ht="20" customHeight="1">
      <c r="A46" s="13" t="inlineStr">
        <is>
          <t>TC_LOG_045</t>
        </is>
      </c>
      <c r="B46" s="14" t="inlineStr">
        <is>
          <t>Functional - Invalid Credentials</t>
        </is>
      </c>
      <c r="C46" s="14" t="inlineStr">
        <is>
          <t>Verify authentication failure for Invalid Login attempt #20 - Username: 'fake_user_20' / Password: 'wrong_pass'</t>
        </is>
      </c>
      <c r="D46" s="14" t="inlineStr">
        <is>
          <t>Login page loaded</t>
        </is>
      </c>
      <c r="E46" s="14" t="inlineStr">
        <is>
          <t>1. Open login URL
2. Enter 'fake_user_20' in Username
3. Enter 'wrong_pass' in Password
4. Submit form</t>
        </is>
      </c>
      <c r="F46" s="14" t="inlineStr">
        <is>
          <t>Username='fake_user_20', Password='wrong_pass'</t>
        </is>
      </c>
      <c r="G46" s="14" t="inlineStr">
        <is>
          <t>System denies login, remains on login page, and displays 'Invalid credentials' error banner.</t>
        </is>
      </c>
      <c r="H46" s="13" t="inlineStr">
        <is>
          <t>Automated (Selenium)</t>
        </is>
      </c>
      <c r="I46" s="13" t="inlineStr">
        <is>
          <t>P2</t>
        </is>
      </c>
      <c r="J46" s="13" t="inlineStr">
        <is>
          <t>Medium</t>
        </is>
      </c>
      <c r="K46" s="15" t="inlineStr">
        <is>
          <t>AUTOMATED</t>
        </is>
      </c>
    </row>
    <row r="47" ht="20" customHeight="1">
      <c r="A47" s="16" t="inlineStr">
        <is>
          <t>TC_LOG_046</t>
        </is>
      </c>
      <c r="B47" s="17" t="inlineStr">
        <is>
          <t>Functional - Invalid Credentials</t>
        </is>
      </c>
      <c r="C47" s="17" t="inlineStr">
        <is>
          <t>Verify authentication failure for Invalid Login attempt #21 - Username: 'admin' / Password: 'invalid_pass_21'</t>
        </is>
      </c>
      <c r="D47" s="17" t="inlineStr">
        <is>
          <t>Login page loaded</t>
        </is>
      </c>
      <c r="E47" s="17" t="inlineStr">
        <is>
          <t>1. Open login URL
2. Enter 'admin' in Username
3. Enter 'invalid_pass_21' in Password
4. Submit form</t>
        </is>
      </c>
      <c r="F47" s="17" t="inlineStr">
        <is>
          <t>Username='admin', Password='invalid_pass_21'</t>
        </is>
      </c>
      <c r="G47" s="17" t="inlineStr">
        <is>
          <t>System denies login, remains on login page, and displays 'Invalid credentials' error banner.</t>
        </is>
      </c>
      <c r="H47" s="16" t="inlineStr">
        <is>
          <t>Automated (Selenium)</t>
        </is>
      </c>
      <c r="I47" s="16" t="inlineStr">
        <is>
          <t>P2</t>
        </is>
      </c>
      <c r="J47" s="16" t="inlineStr">
        <is>
          <t>Medium</t>
        </is>
      </c>
      <c r="K47" s="15" t="inlineStr">
        <is>
          <t>AUTOMATED</t>
        </is>
      </c>
    </row>
    <row r="48" ht="20" customHeight="1">
      <c r="A48" s="13" t="inlineStr">
        <is>
          <t>TC_LOG_047</t>
        </is>
      </c>
      <c r="B48" s="14" t="inlineStr">
        <is>
          <t>Functional - Invalid Credentials</t>
        </is>
      </c>
      <c r="C48" s="14" t="inlineStr">
        <is>
          <t>Verify authentication failure for Invalid Login attempt #22 - Username: 'fake_user_22' / Password: 'wrong_pass'</t>
        </is>
      </c>
      <c r="D48" s="14" t="inlineStr">
        <is>
          <t>Login page loaded</t>
        </is>
      </c>
      <c r="E48" s="14" t="inlineStr">
        <is>
          <t>1. Open login URL
2. Enter 'fake_user_22' in Username
3. Enter 'wrong_pass' in Password
4. Submit form</t>
        </is>
      </c>
      <c r="F48" s="14" t="inlineStr">
        <is>
          <t>Username='fake_user_22', Password='wrong_pass'</t>
        </is>
      </c>
      <c r="G48" s="14" t="inlineStr">
        <is>
          <t>System denies login, remains on login page, and displays 'Invalid credentials' error banner.</t>
        </is>
      </c>
      <c r="H48" s="13" t="inlineStr">
        <is>
          <t>Automated (Selenium)</t>
        </is>
      </c>
      <c r="I48" s="13" t="inlineStr">
        <is>
          <t>P2</t>
        </is>
      </c>
      <c r="J48" s="13" t="inlineStr">
        <is>
          <t>Medium</t>
        </is>
      </c>
      <c r="K48" s="15" t="inlineStr">
        <is>
          <t>AUTOMATED</t>
        </is>
      </c>
    </row>
    <row r="49" ht="20" customHeight="1">
      <c r="A49" s="16" t="inlineStr">
        <is>
          <t>TC_LOG_048</t>
        </is>
      </c>
      <c r="B49" s="17" t="inlineStr">
        <is>
          <t>Functional - Invalid Credentials</t>
        </is>
      </c>
      <c r="C49" s="17" t="inlineStr">
        <is>
          <t>Verify authentication failure for Invalid Login attempt #23 - Username: 'admin' / Password: 'invalid_pass_23'</t>
        </is>
      </c>
      <c r="D49" s="17" t="inlineStr">
        <is>
          <t>Login page loaded</t>
        </is>
      </c>
      <c r="E49" s="17" t="inlineStr">
        <is>
          <t>1. Open login URL
2. Enter 'admin' in Username
3. Enter 'invalid_pass_23' in Password
4. Submit form</t>
        </is>
      </c>
      <c r="F49" s="17" t="inlineStr">
        <is>
          <t>Username='admin', Password='invalid_pass_23'</t>
        </is>
      </c>
      <c r="G49" s="17" t="inlineStr">
        <is>
          <t>System denies login, remains on login page, and displays 'Invalid credentials' error banner.</t>
        </is>
      </c>
      <c r="H49" s="16" t="inlineStr">
        <is>
          <t>Automated (Selenium)</t>
        </is>
      </c>
      <c r="I49" s="16" t="inlineStr">
        <is>
          <t>P2</t>
        </is>
      </c>
      <c r="J49" s="16" t="inlineStr">
        <is>
          <t>Medium</t>
        </is>
      </c>
      <c r="K49" s="15" t="inlineStr">
        <is>
          <t>AUTOMATED</t>
        </is>
      </c>
    </row>
    <row r="50" ht="20" customHeight="1">
      <c r="A50" s="13" t="inlineStr">
        <is>
          <t>TC_LOG_049</t>
        </is>
      </c>
      <c r="B50" s="14" t="inlineStr">
        <is>
          <t>Functional - Invalid Credentials</t>
        </is>
      </c>
      <c r="C50" s="14" t="inlineStr">
        <is>
          <t>Verify authentication failure for Invalid Login attempt #24 - Username: 'fake_user_24' / Password: 'wrong_pass'</t>
        </is>
      </c>
      <c r="D50" s="14" t="inlineStr">
        <is>
          <t>Login page loaded</t>
        </is>
      </c>
      <c r="E50" s="14" t="inlineStr">
        <is>
          <t>1. Open login URL
2. Enter 'fake_user_24' in Username
3. Enter 'wrong_pass' in Password
4. Submit form</t>
        </is>
      </c>
      <c r="F50" s="14" t="inlineStr">
        <is>
          <t>Username='fake_user_24', Password='wrong_pass'</t>
        </is>
      </c>
      <c r="G50" s="14" t="inlineStr">
        <is>
          <t>System denies login, remains on login page, and displays 'Invalid credentials' error banner.</t>
        </is>
      </c>
      <c r="H50" s="13" t="inlineStr">
        <is>
          <t>Automated (Selenium)</t>
        </is>
      </c>
      <c r="I50" s="13" t="inlineStr">
        <is>
          <t>P2</t>
        </is>
      </c>
      <c r="J50" s="13" t="inlineStr">
        <is>
          <t>Medium</t>
        </is>
      </c>
      <c r="K50" s="15" t="inlineStr">
        <is>
          <t>AUTOMATED</t>
        </is>
      </c>
    </row>
    <row r="51" ht="20" customHeight="1">
      <c r="A51" s="16" t="inlineStr">
        <is>
          <t>TC_LOG_050</t>
        </is>
      </c>
      <c r="B51" s="17" t="inlineStr">
        <is>
          <t>Functional - Invalid Credentials</t>
        </is>
      </c>
      <c r="C51" s="17" t="inlineStr">
        <is>
          <t>Verify authentication failure for Invalid Login attempt #25 - Username: 'admin' / Password: 'invalid_pass_25'</t>
        </is>
      </c>
      <c r="D51" s="17" t="inlineStr">
        <is>
          <t>Login page loaded</t>
        </is>
      </c>
      <c r="E51" s="17" t="inlineStr">
        <is>
          <t>1. Open login URL
2. Enter 'admin' in Username
3. Enter 'invalid_pass_25' in Password
4. Submit form</t>
        </is>
      </c>
      <c r="F51" s="17" t="inlineStr">
        <is>
          <t>Username='admin', Password='invalid_pass_25'</t>
        </is>
      </c>
      <c r="G51" s="17" t="inlineStr">
        <is>
          <t>System denies login, remains on login page, and displays 'Invalid credentials' error banner.</t>
        </is>
      </c>
      <c r="H51" s="16" t="inlineStr">
        <is>
          <t>Automated (Selenium)</t>
        </is>
      </c>
      <c r="I51" s="16" t="inlineStr">
        <is>
          <t>P2</t>
        </is>
      </c>
      <c r="J51" s="16" t="inlineStr">
        <is>
          <t>Medium</t>
        </is>
      </c>
      <c r="K51" s="15" t="inlineStr">
        <is>
          <t>AUTOMATED</t>
        </is>
      </c>
    </row>
    <row r="52" ht="20" customHeight="1">
      <c r="A52" s="13" t="inlineStr">
        <is>
          <t>TC_LOG_051</t>
        </is>
      </c>
      <c r="B52" s="14" t="inlineStr">
        <is>
          <t>Functional - Invalid Credentials</t>
        </is>
      </c>
      <c r="C52" s="14" t="inlineStr">
        <is>
          <t>Verify authentication failure for Invalid Login attempt #26 - Username: 'fake_user_26' / Password: 'wrong_pass'</t>
        </is>
      </c>
      <c r="D52" s="14" t="inlineStr">
        <is>
          <t>Login page loaded</t>
        </is>
      </c>
      <c r="E52" s="14" t="inlineStr">
        <is>
          <t>1. Open login URL
2. Enter 'fake_user_26' in Username
3. Enter 'wrong_pass' in Password
4. Submit form</t>
        </is>
      </c>
      <c r="F52" s="14" t="inlineStr">
        <is>
          <t>Username='fake_user_26', Password='wrong_pass'</t>
        </is>
      </c>
      <c r="G52" s="14" t="inlineStr">
        <is>
          <t>System denies login, remains on login page, and displays 'Invalid credentials' error banner.</t>
        </is>
      </c>
      <c r="H52" s="13" t="inlineStr">
        <is>
          <t>Automated (Selenium)</t>
        </is>
      </c>
      <c r="I52" s="13" t="inlineStr">
        <is>
          <t>P2</t>
        </is>
      </c>
      <c r="J52" s="13" t="inlineStr">
        <is>
          <t>Medium</t>
        </is>
      </c>
      <c r="K52" s="15" t="inlineStr">
        <is>
          <t>AUTOMATED</t>
        </is>
      </c>
    </row>
    <row r="53" ht="20" customHeight="1">
      <c r="A53" s="16" t="inlineStr">
        <is>
          <t>TC_LOG_052</t>
        </is>
      </c>
      <c r="B53" s="17" t="inlineStr">
        <is>
          <t>Functional - Invalid Credentials</t>
        </is>
      </c>
      <c r="C53" s="17" t="inlineStr">
        <is>
          <t>Verify authentication failure for Invalid Login attempt #27 - Username: 'admin' / Password: 'invalid_pass_27'</t>
        </is>
      </c>
      <c r="D53" s="17" t="inlineStr">
        <is>
          <t>Login page loaded</t>
        </is>
      </c>
      <c r="E53" s="17" t="inlineStr">
        <is>
          <t>1. Open login URL
2. Enter 'admin' in Username
3. Enter 'invalid_pass_27' in Password
4. Submit form</t>
        </is>
      </c>
      <c r="F53" s="17" t="inlineStr">
        <is>
          <t>Username='admin', Password='invalid_pass_27'</t>
        </is>
      </c>
      <c r="G53" s="17" t="inlineStr">
        <is>
          <t>System denies login, remains on login page, and displays 'Invalid credentials' error banner.</t>
        </is>
      </c>
      <c r="H53" s="16" t="inlineStr">
        <is>
          <t>Automated (Selenium)</t>
        </is>
      </c>
      <c r="I53" s="16" t="inlineStr">
        <is>
          <t>P2</t>
        </is>
      </c>
      <c r="J53" s="16" t="inlineStr">
        <is>
          <t>Medium</t>
        </is>
      </c>
      <c r="K53" s="15" t="inlineStr">
        <is>
          <t>AUTOMATED</t>
        </is>
      </c>
    </row>
    <row r="54" ht="20" customHeight="1">
      <c r="A54" s="13" t="inlineStr">
        <is>
          <t>TC_LOG_053</t>
        </is>
      </c>
      <c r="B54" s="14" t="inlineStr">
        <is>
          <t>Functional - Invalid Credentials</t>
        </is>
      </c>
      <c r="C54" s="14" t="inlineStr">
        <is>
          <t>Verify authentication failure for Invalid Login attempt #28 - Username: 'fake_user_28' / Password: 'wrong_pass'</t>
        </is>
      </c>
      <c r="D54" s="14" t="inlineStr">
        <is>
          <t>Login page loaded</t>
        </is>
      </c>
      <c r="E54" s="14" t="inlineStr">
        <is>
          <t>1. Open login URL
2. Enter 'fake_user_28' in Username
3. Enter 'wrong_pass' in Password
4. Submit form</t>
        </is>
      </c>
      <c r="F54" s="14" t="inlineStr">
        <is>
          <t>Username='fake_user_28', Password='wrong_pass'</t>
        </is>
      </c>
      <c r="G54" s="14" t="inlineStr">
        <is>
          <t>System denies login, remains on login page, and displays 'Invalid credentials' error banner.</t>
        </is>
      </c>
      <c r="H54" s="13" t="inlineStr">
        <is>
          <t>Automated (Selenium)</t>
        </is>
      </c>
      <c r="I54" s="13" t="inlineStr">
        <is>
          <t>P2</t>
        </is>
      </c>
      <c r="J54" s="13" t="inlineStr">
        <is>
          <t>Medium</t>
        </is>
      </c>
      <c r="K54" s="15" t="inlineStr">
        <is>
          <t>AUTOMATED</t>
        </is>
      </c>
    </row>
    <row r="55" ht="20" customHeight="1">
      <c r="A55" s="16" t="inlineStr">
        <is>
          <t>TC_LOG_054</t>
        </is>
      </c>
      <c r="B55" s="17" t="inlineStr">
        <is>
          <t>Functional - Invalid Credentials</t>
        </is>
      </c>
      <c r="C55" s="17" t="inlineStr">
        <is>
          <t>Verify authentication failure for Invalid Login attempt #29 - Username: 'admin' / Password: 'invalid_pass_29'</t>
        </is>
      </c>
      <c r="D55" s="17" t="inlineStr">
        <is>
          <t>Login page loaded</t>
        </is>
      </c>
      <c r="E55" s="17" t="inlineStr">
        <is>
          <t>1. Open login URL
2. Enter 'admin' in Username
3. Enter 'invalid_pass_29' in Password
4. Submit form</t>
        </is>
      </c>
      <c r="F55" s="17" t="inlineStr">
        <is>
          <t>Username='admin', Password='invalid_pass_29'</t>
        </is>
      </c>
      <c r="G55" s="17" t="inlineStr">
        <is>
          <t>System denies login, remains on login page, and displays 'Invalid credentials' error banner.</t>
        </is>
      </c>
      <c r="H55" s="16" t="inlineStr">
        <is>
          <t>Automated (Selenium)</t>
        </is>
      </c>
      <c r="I55" s="16" t="inlineStr">
        <is>
          <t>P2</t>
        </is>
      </c>
      <c r="J55" s="16" t="inlineStr">
        <is>
          <t>Medium</t>
        </is>
      </c>
      <c r="K55" s="15" t="inlineStr">
        <is>
          <t>AUTOMATED</t>
        </is>
      </c>
    </row>
    <row r="56" ht="20" customHeight="1">
      <c r="A56" s="13" t="inlineStr">
        <is>
          <t>TC_LOG_055</t>
        </is>
      </c>
      <c r="B56" s="14" t="inlineStr">
        <is>
          <t>Functional - Invalid Credentials</t>
        </is>
      </c>
      <c r="C56" s="14" t="inlineStr">
        <is>
          <t>Verify authentication failure for Invalid Login attempt #30 - Username: 'fake_user_30' / Password: 'wrong_pass'</t>
        </is>
      </c>
      <c r="D56" s="14" t="inlineStr">
        <is>
          <t>Login page loaded</t>
        </is>
      </c>
      <c r="E56" s="14" t="inlineStr">
        <is>
          <t>1. Open login URL
2. Enter 'fake_user_30' in Username
3. Enter 'wrong_pass' in Password
4. Submit form</t>
        </is>
      </c>
      <c r="F56" s="14" t="inlineStr">
        <is>
          <t>Username='fake_user_30', Password='wrong_pass'</t>
        </is>
      </c>
      <c r="G56" s="14" t="inlineStr">
        <is>
          <t>System denies login, remains on login page, and displays 'Invalid credentials' error banner.</t>
        </is>
      </c>
      <c r="H56" s="13" t="inlineStr">
        <is>
          <t>Automated (Selenium)</t>
        </is>
      </c>
      <c r="I56" s="13" t="inlineStr">
        <is>
          <t>P2</t>
        </is>
      </c>
      <c r="J56" s="13" t="inlineStr">
        <is>
          <t>Medium</t>
        </is>
      </c>
      <c r="K56" s="15" t="inlineStr">
        <is>
          <t>AUTOMATED</t>
        </is>
      </c>
    </row>
    <row r="57" ht="20" customHeight="1">
      <c r="A57" s="16" t="inlineStr">
        <is>
          <t>TC_LOG_056</t>
        </is>
      </c>
      <c r="B57" s="17" t="inlineStr">
        <is>
          <t>Form Input Validation &amp; Empty Fields</t>
        </is>
      </c>
      <c r="C57" s="17" t="inlineStr">
        <is>
          <t>Verify form response when Both Username and Password blank</t>
        </is>
      </c>
      <c r="D57" s="17" t="inlineStr">
        <is>
          <t>User on login page</t>
        </is>
      </c>
      <c r="E57" s="17" t="inlineStr">
        <is>
          <t>1. Navigate to login form
2. Set Username to ''
3. Set Password to ''
4. Trigger Submit action</t>
        </is>
      </c>
      <c r="F57" s="17" t="inlineStr">
        <is>
          <t>Username='', Password=''</t>
        </is>
      </c>
      <c r="G57" s="17" t="inlineStr">
        <is>
          <t>Validation fails. Expected: Displays field validation warning</t>
        </is>
      </c>
      <c r="H57" s="16" t="inlineStr">
        <is>
          <t>Automated (Selenium)</t>
        </is>
      </c>
      <c r="I57" s="16" t="inlineStr">
        <is>
          <t>P2</t>
        </is>
      </c>
      <c r="J57" s="16" t="inlineStr">
        <is>
          <t>Medium</t>
        </is>
      </c>
      <c r="K57" s="15" t="inlineStr">
        <is>
          <t>PASSED</t>
        </is>
      </c>
    </row>
    <row r="58" ht="20" customHeight="1">
      <c r="A58" s="13" t="inlineStr">
        <is>
          <t>TC_LOG_057</t>
        </is>
      </c>
      <c r="B58" s="14" t="inlineStr">
        <is>
          <t>Form Input Validation &amp; Empty Fields</t>
        </is>
      </c>
      <c r="C58" s="14" t="inlineStr">
        <is>
          <t>Verify form response when Username empty and Password filled</t>
        </is>
      </c>
      <c r="D58" s="14" t="inlineStr">
        <is>
          <t>User on login page</t>
        </is>
      </c>
      <c r="E58" s="14" t="inlineStr">
        <is>
          <t>1. Navigate to login form
2. Set Username to ''
3. Set Password to 'some_password'
4. Trigger Submit action</t>
        </is>
      </c>
      <c r="F58" s="14" t="inlineStr">
        <is>
          <t>Username='', Password='some_password'</t>
        </is>
      </c>
      <c r="G58" s="14" t="inlineStr">
        <is>
          <t>Validation fails. Expected: Prompts for missing username</t>
        </is>
      </c>
      <c r="H58" s="13" t="inlineStr">
        <is>
          <t>Automated (Selenium)</t>
        </is>
      </c>
      <c r="I58" s="13" t="inlineStr">
        <is>
          <t>P2</t>
        </is>
      </c>
      <c r="J58" s="13" t="inlineStr">
        <is>
          <t>Medium</t>
        </is>
      </c>
      <c r="K58" s="15" t="inlineStr">
        <is>
          <t>PASSED</t>
        </is>
      </c>
    </row>
    <row r="59" ht="20" customHeight="1">
      <c r="A59" s="16" t="inlineStr">
        <is>
          <t>TC_LOG_058</t>
        </is>
      </c>
      <c r="B59" s="17" t="inlineStr">
        <is>
          <t>Form Input Validation &amp; Empty Fields</t>
        </is>
      </c>
      <c r="C59" s="17" t="inlineStr">
        <is>
          <t>Verify form response when Username filled and Password empty</t>
        </is>
      </c>
      <c r="D59" s="17" t="inlineStr">
        <is>
          <t>User on login page</t>
        </is>
      </c>
      <c r="E59" s="17" t="inlineStr">
        <is>
          <t>1. Navigate to login form
2. Set Username to 'admin'
3. Set Password to ''
4. Trigger Submit action</t>
        </is>
      </c>
      <c r="F59" s="17" t="inlineStr">
        <is>
          <t>Username='admin', Password=''</t>
        </is>
      </c>
      <c r="G59" s="17" t="inlineStr">
        <is>
          <t>Validation fails. Expected: Prompts for missing password</t>
        </is>
      </c>
      <c r="H59" s="16" t="inlineStr">
        <is>
          <t>Automated (Selenium)</t>
        </is>
      </c>
      <c r="I59" s="16" t="inlineStr">
        <is>
          <t>P2</t>
        </is>
      </c>
      <c r="J59" s="16" t="inlineStr">
        <is>
          <t>Medium</t>
        </is>
      </c>
      <c r="K59" s="15" t="inlineStr">
        <is>
          <t>AUTOMATED</t>
        </is>
      </c>
    </row>
    <row r="60" ht="20" customHeight="1">
      <c r="A60" s="13" t="inlineStr">
        <is>
          <t>TC_LOG_059</t>
        </is>
      </c>
      <c r="B60" s="14" t="inlineStr">
        <is>
          <t>Form Input Validation &amp; Empty Fields</t>
        </is>
      </c>
      <c r="C60" s="14" t="inlineStr">
        <is>
          <t>Verify form response when Username filled with single whitespace character</t>
        </is>
      </c>
      <c r="D60" s="14" t="inlineStr">
        <is>
          <t>User on login page</t>
        </is>
      </c>
      <c r="E60" s="14" t="inlineStr">
        <is>
          <t>1. Navigate to login form
2. Set Username to ' '
3. Set Password to 'admin123'
4. Trigger Submit action</t>
        </is>
      </c>
      <c r="F60" s="14" t="inlineStr">
        <is>
          <t>Username=' ', Password='admin123'</t>
        </is>
      </c>
      <c r="G60" s="14" t="inlineStr">
        <is>
          <t>Validation fails. Expected: Rejects space-only username</t>
        </is>
      </c>
      <c r="H60" s="13" t="inlineStr">
        <is>
          <t>Automated (Selenium)</t>
        </is>
      </c>
      <c r="I60" s="13" t="inlineStr">
        <is>
          <t>P2</t>
        </is>
      </c>
      <c r="J60" s="13" t="inlineStr">
        <is>
          <t>Medium</t>
        </is>
      </c>
      <c r="K60" s="15" t="inlineStr">
        <is>
          <t>PASSED</t>
        </is>
      </c>
    </row>
    <row r="61" ht="20" customHeight="1">
      <c r="A61" s="16" t="inlineStr">
        <is>
          <t>TC_LOG_060</t>
        </is>
      </c>
      <c r="B61" s="17" t="inlineStr">
        <is>
          <t>Form Input Validation &amp; Empty Fields</t>
        </is>
      </c>
      <c r="C61" s="17" t="inlineStr">
        <is>
          <t>Verify form response when Password filled with single whitespace character</t>
        </is>
      </c>
      <c r="D61" s="17" t="inlineStr">
        <is>
          <t>User on login page</t>
        </is>
      </c>
      <c r="E61" s="17" t="inlineStr">
        <is>
          <t>1. Navigate to login form
2. Set Username to 'admin'
3. Set Password to ' '
4. Trigger Submit action</t>
        </is>
      </c>
      <c r="F61" s="17" t="inlineStr">
        <is>
          <t>Username='admin', Password=' '</t>
        </is>
      </c>
      <c r="G61" s="17" t="inlineStr">
        <is>
          <t>Validation fails. Expected: Rejects space-only password</t>
        </is>
      </c>
      <c r="H61" s="16" t="inlineStr">
        <is>
          <t>Automated (Selenium)</t>
        </is>
      </c>
      <c r="I61" s="16" t="inlineStr">
        <is>
          <t>P2</t>
        </is>
      </c>
      <c r="J61" s="16" t="inlineStr">
        <is>
          <t>Medium</t>
        </is>
      </c>
      <c r="K61" s="15" t="inlineStr">
        <is>
          <t>PASSED</t>
        </is>
      </c>
    </row>
    <row r="62" ht="20" customHeight="1">
      <c r="A62" s="13" t="inlineStr">
        <is>
          <t>TC_LOG_061</t>
        </is>
      </c>
      <c r="B62" s="14" t="inlineStr">
        <is>
          <t>Form Input Validation &amp; Empty Fields</t>
        </is>
      </c>
      <c r="C62" s="14" t="inlineStr">
        <is>
          <t>Verify form response when Username filled with leading and trailing tabs</t>
        </is>
      </c>
      <c r="D62" s="14" t="inlineStr">
        <is>
          <t>User on login page</t>
        </is>
      </c>
      <c r="E62" s="14" t="inlineStr">
        <is>
          <t>1. Navigate to login form
2. Set Username to '	admin	'
3. Set Password to 'admin123'
4. Trigger Submit action</t>
        </is>
      </c>
      <c r="F62" s="14" t="inlineStr">
        <is>
          <t>Username='	admin	', Password='admin123'</t>
        </is>
      </c>
      <c r="G62" s="14" t="inlineStr">
        <is>
          <t>Validation fails. Expected: Trims tabs or rejects invalid input</t>
        </is>
      </c>
      <c r="H62" s="13" t="inlineStr">
        <is>
          <t>Automated (Selenium)</t>
        </is>
      </c>
      <c r="I62" s="13" t="inlineStr">
        <is>
          <t>P2</t>
        </is>
      </c>
      <c r="J62" s="13" t="inlineStr">
        <is>
          <t>Medium</t>
        </is>
      </c>
      <c r="K62" s="15" t="inlineStr">
        <is>
          <t>AUTOMATED</t>
        </is>
      </c>
    </row>
    <row r="63" ht="20" customHeight="1">
      <c r="A63" s="16" t="inlineStr">
        <is>
          <t>TC_LOG_062</t>
        </is>
      </c>
      <c r="B63" s="17" t="inlineStr">
        <is>
          <t>Form Input Validation &amp; Empty Fields</t>
        </is>
      </c>
      <c r="C63" s="17" t="inlineStr">
        <is>
          <t>Verify form response when Password input contains non-printable ASCII characters</t>
        </is>
      </c>
      <c r="D63" s="17" t="inlineStr">
        <is>
          <t>User on login page</t>
        </is>
      </c>
      <c r="E63" s="17" t="inlineStr">
        <is>
          <t>1. Navigate to login form
2. Set Username to 'admin'
3. Set Password to '\x00\x07\x1b'
4. Trigger Submit action</t>
        </is>
      </c>
      <c r="F63" s="17" t="inlineStr">
        <is>
          <t>Username='admin', Password='\x00\x07\x1b'</t>
        </is>
      </c>
      <c r="G63" s="17" t="inlineStr">
        <is>
          <t>Validation fails. Expected: Handles binary control chars gracefully</t>
        </is>
      </c>
      <c r="H63" s="16" t="inlineStr">
        <is>
          <t>Automated (Selenium)</t>
        </is>
      </c>
      <c r="I63" s="16" t="inlineStr">
        <is>
          <t>P2</t>
        </is>
      </c>
      <c r="J63" s="16" t="inlineStr">
        <is>
          <t>Medium</t>
        </is>
      </c>
      <c r="K63" s="15" t="inlineStr">
        <is>
          <t>PASSED</t>
        </is>
      </c>
    </row>
    <row r="64" ht="20" customHeight="1">
      <c r="A64" s="13" t="inlineStr">
        <is>
          <t>TC_LOG_063</t>
        </is>
      </c>
      <c r="B64" s="14" t="inlineStr">
        <is>
          <t>Form Input Validation &amp; Empty Fields</t>
        </is>
      </c>
      <c r="C64" s="14" t="inlineStr">
        <is>
          <t>Verify form response when Username input contains HTML whitespace entities</t>
        </is>
      </c>
      <c r="D64" s="14" t="inlineStr">
        <is>
          <t>User on login page</t>
        </is>
      </c>
      <c r="E64" s="14" t="inlineStr">
        <is>
          <t>1. Navigate to login form
2. Set Username to '&amp;nbsp;admin&amp;nbsp;'
3. Set Password to 'admin123'
4. Trigger Submit action</t>
        </is>
      </c>
      <c r="F64" s="14" t="inlineStr">
        <is>
          <t>Username='&amp;nbsp;admin&amp;nbsp;', Password='admin123'</t>
        </is>
      </c>
      <c r="G64" s="14" t="inlineStr">
        <is>
          <t>Validation fails. Expected: Sanitizes HTML entities without crash</t>
        </is>
      </c>
      <c r="H64" s="13" t="inlineStr">
        <is>
          <t>Automated (Selenium)</t>
        </is>
      </c>
      <c r="I64" s="13" t="inlineStr">
        <is>
          <t>P2</t>
        </is>
      </c>
      <c r="J64" s="13" t="inlineStr">
        <is>
          <t>Medium</t>
        </is>
      </c>
      <c r="K64" s="15" t="inlineStr">
        <is>
          <t>PASSED</t>
        </is>
      </c>
    </row>
    <row r="65" ht="20" customHeight="1">
      <c r="A65" s="16" t="inlineStr">
        <is>
          <t>TC_LOG_064</t>
        </is>
      </c>
      <c r="B65" s="17" t="inlineStr">
        <is>
          <t>Form Input Validation &amp; Empty Fields</t>
        </is>
      </c>
      <c r="C65" s="17" t="inlineStr">
        <is>
          <t>Verify form response when Username with zero-width space characters</t>
        </is>
      </c>
      <c r="D65" s="17" t="inlineStr">
        <is>
          <t>User on login page</t>
        </is>
      </c>
      <c r="E65" s="17" t="inlineStr">
        <is>
          <t>1. Navigate to login form
2. Set Username to 'admin​'
3. Set Password to 'admin123'
4. Trigger Submit action</t>
        </is>
      </c>
      <c r="F65" s="17" t="inlineStr">
        <is>
          <t>Username='admin​', Password='admin123'</t>
        </is>
      </c>
      <c r="G65" s="17" t="inlineStr">
        <is>
          <t>Validation fails. Expected: Rejects zero-width characters</t>
        </is>
      </c>
      <c r="H65" s="16" t="inlineStr">
        <is>
          <t>Automated (Selenium)</t>
        </is>
      </c>
      <c r="I65" s="16" t="inlineStr">
        <is>
          <t>P2</t>
        </is>
      </c>
      <c r="J65" s="16" t="inlineStr">
        <is>
          <t>Medium</t>
        </is>
      </c>
      <c r="K65" s="15" t="inlineStr">
        <is>
          <t>AUTOMATED</t>
        </is>
      </c>
    </row>
    <row r="66" ht="20" customHeight="1">
      <c r="A66" s="13" t="inlineStr">
        <is>
          <t>TC_LOG_065</t>
        </is>
      </c>
      <c r="B66" s="14" t="inlineStr">
        <is>
          <t>Form Input Validation &amp; Empty Fields</t>
        </is>
      </c>
      <c r="C66" s="14" t="inlineStr">
        <is>
          <t>Verify form response when Password input with Unicode line break</t>
        </is>
      </c>
      <c r="D66" s="14" t="inlineStr">
        <is>
          <t>User on login page</t>
        </is>
      </c>
      <c r="E66" s="14" t="inlineStr">
        <is>
          <t>1. Navigate to login form
2. Set Username to 'admin'
3. Set Password to 'line1
line2'
4. Trigger Submit action</t>
        </is>
      </c>
      <c r="F66" s="14" t="inlineStr">
        <is>
          <t>Username='admin', Password='line1
line2'</t>
        </is>
      </c>
      <c r="G66" s="14" t="inlineStr">
        <is>
          <t>Validation fails. Expected: Rejects multiline password input</t>
        </is>
      </c>
      <c r="H66" s="13" t="inlineStr">
        <is>
          <t>Automated (Selenium)</t>
        </is>
      </c>
      <c r="I66" s="13" t="inlineStr">
        <is>
          <t>P2</t>
        </is>
      </c>
      <c r="J66" s="13" t="inlineStr">
        <is>
          <t>Medium</t>
        </is>
      </c>
      <c r="K66" s="15" t="inlineStr">
        <is>
          <t>PASSED</t>
        </is>
      </c>
    </row>
    <row r="67" ht="20" customHeight="1">
      <c r="A67" s="16" t="inlineStr">
        <is>
          <t>TC_LOG_066</t>
        </is>
      </c>
      <c r="B67" s="17" t="inlineStr">
        <is>
          <t>Form Input Validation &amp; Empty Fields</t>
        </is>
      </c>
      <c r="C67" s="17" t="inlineStr">
        <is>
          <t>Verify form response when Form input validation permutation #11</t>
        </is>
      </c>
      <c r="D67" s="17" t="inlineStr">
        <is>
          <t>User on login page</t>
        </is>
      </c>
      <c r="E67" s="17" t="inlineStr">
        <is>
          <t>1. Navigate to login form
2. Set Username to ''
3. Set Password to 'pass_val_11'
4. Trigger Submit action</t>
        </is>
      </c>
      <c r="F67" s="17" t="inlineStr">
        <is>
          <t>Username='', Password='pass_val_11'</t>
        </is>
      </c>
      <c r="G67" s="17" t="inlineStr">
        <is>
          <t>Validation fails. Expected: Form prevents submission or displays validation error banner.</t>
        </is>
      </c>
      <c r="H67" s="16" t="inlineStr">
        <is>
          <t>Automated (Selenium)</t>
        </is>
      </c>
      <c r="I67" s="16" t="inlineStr">
        <is>
          <t>P2</t>
        </is>
      </c>
      <c r="J67" s="16" t="inlineStr">
        <is>
          <t>Medium</t>
        </is>
      </c>
      <c r="K67" s="15" t="inlineStr">
        <is>
          <t>PASSED</t>
        </is>
      </c>
    </row>
    <row r="68" ht="20" customHeight="1">
      <c r="A68" s="13" t="inlineStr">
        <is>
          <t>TC_LOG_067</t>
        </is>
      </c>
      <c r="B68" s="14" t="inlineStr">
        <is>
          <t>Form Input Validation &amp; Empty Fields</t>
        </is>
      </c>
      <c r="C68" s="14" t="inlineStr">
        <is>
          <t>Verify form response when Form input validation permutation #12</t>
        </is>
      </c>
      <c r="D68" s="14" t="inlineStr">
        <is>
          <t>User on login page</t>
        </is>
      </c>
      <c r="E68" s="14" t="inlineStr">
        <is>
          <t>1. Navigate to login form
2. Set Username to 'user_val_12'
3. Set Password to ''
4. Trigger Submit action</t>
        </is>
      </c>
      <c r="F68" s="14" t="inlineStr">
        <is>
          <t>Username='user_val_12', Password=''</t>
        </is>
      </c>
      <c r="G68" s="14" t="inlineStr">
        <is>
          <t>Validation fails. Expected: Form prevents submission or displays validation error banner.</t>
        </is>
      </c>
      <c r="H68" s="13" t="inlineStr">
        <is>
          <t>Automated (Selenium)</t>
        </is>
      </c>
      <c r="I68" s="13" t="inlineStr">
        <is>
          <t>P2</t>
        </is>
      </c>
      <c r="J68" s="13" t="inlineStr">
        <is>
          <t>Medium</t>
        </is>
      </c>
      <c r="K68" s="15" t="inlineStr">
        <is>
          <t>AUTOMATED</t>
        </is>
      </c>
    </row>
    <row r="69" ht="20" customHeight="1">
      <c r="A69" s="16" t="inlineStr">
        <is>
          <t>TC_LOG_068</t>
        </is>
      </c>
      <c r="B69" s="17" t="inlineStr">
        <is>
          <t>Form Input Validation &amp; Empty Fields</t>
        </is>
      </c>
      <c r="C69" s="17" t="inlineStr">
        <is>
          <t>Verify form response when Form input validation permutation #13</t>
        </is>
      </c>
      <c r="D69" s="17" t="inlineStr">
        <is>
          <t>User on login page</t>
        </is>
      </c>
      <c r="E69" s="17" t="inlineStr">
        <is>
          <t>1. Navigate to login form
2. Set Username to ''
3. Set Password to 'pass_val_13'
4. Trigger Submit action</t>
        </is>
      </c>
      <c r="F69" s="17" t="inlineStr">
        <is>
          <t>Username='', Password='pass_val_13'</t>
        </is>
      </c>
      <c r="G69" s="17" t="inlineStr">
        <is>
          <t>Validation fails. Expected: Form prevents submission or displays validation error banner.</t>
        </is>
      </c>
      <c r="H69" s="16" t="inlineStr">
        <is>
          <t>Automated (Selenium)</t>
        </is>
      </c>
      <c r="I69" s="16" t="inlineStr">
        <is>
          <t>P2</t>
        </is>
      </c>
      <c r="J69" s="16" t="inlineStr">
        <is>
          <t>Medium</t>
        </is>
      </c>
      <c r="K69" s="15" t="inlineStr">
        <is>
          <t>PASSED</t>
        </is>
      </c>
    </row>
    <row r="70" ht="20" customHeight="1">
      <c r="A70" s="13" t="inlineStr">
        <is>
          <t>TC_LOG_069</t>
        </is>
      </c>
      <c r="B70" s="14" t="inlineStr">
        <is>
          <t>Form Input Validation &amp; Empty Fields</t>
        </is>
      </c>
      <c r="C70" s="14" t="inlineStr">
        <is>
          <t>Verify form response when Form input validation permutation #14</t>
        </is>
      </c>
      <c r="D70" s="14" t="inlineStr">
        <is>
          <t>User on login page</t>
        </is>
      </c>
      <c r="E70" s="14" t="inlineStr">
        <is>
          <t>1. Navigate to login form
2. Set Username to 'user_val_14'
3. Set Password to ''
4. Trigger Submit action</t>
        </is>
      </c>
      <c r="F70" s="14" t="inlineStr">
        <is>
          <t>Username='user_val_14', Password=''</t>
        </is>
      </c>
      <c r="G70" s="14" t="inlineStr">
        <is>
          <t>Validation fails. Expected: Form prevents submission or displays validation error banner.</t>
        </is>
      </c>
      <c r="H70" s="13" t="inlineStr">
        <is>
          <t>Automated (Selenium)</t>
        </is>
      </c>
      <c r="I70" s="13" t="inlineStr">
        <is>
          <t>P2</t>
        </is>
      </c>
      <c r="J70" s="13" t="inlineStr">
        <is>
          <t>Medium</t>
        </is>
      </c>
      <c r="K70" s="15" t="inlineStr">
        <is>
          <t>PASSED</t>
        </is>
      </c>
    </row>
    <row r="71" ht="20" customHeight="1">
      <c r="A71" s="16" t="inlineStr">
        <is>
          <t>TC_LOG_070</t>
        </is>
      </c>
      <c r="B71" s="17" t="inlineStr">
        <is>
          <t>Form Input Validation &amp; Empty Fields</t>
        </is>
      </c>
      <c r="C71" s="17" t="inlineStr">
        <is>
          <t>Verify form response when Form input validation permutation #15</t>
        </is>
      </c>
      <c r="D71" s="17" t="inlineStr">
        <is>
          <t>User on login page</t>
        </is>
      </c>
      <c r="E71" s="17" t="inlineStr">
        <is>
          <t>1. Navigate to login form
2. Set Username to ''
3. Set Password to 'pass_val_15'
4. Trigger Submit action</t>
        </is>
      </c>
      <c r="F71" s="17" t="inlineStr">
        <is>
          <t>Username='', Password='pass_val_15'</t>
        </is>
      </c>
      <c r="G71" s="17" t="inlineStr">
        <is>
          <t>Validation fails. Expected: Form prevents submission or displays validation error banner.</t>
        </is>
      </c>
      <c r="H71" s="16" t="inlineStr">
        <is>
          <t>Automated (Selenium)</t>
        </is>
      </c>
      <c r="I71" s="16" t="inlineStr">
        <is>
          <t>P2</t>
        </is>
      </c>
      <c r="J71" s="16" t="inlineStr">
        <is>
          <t>Medium</t>
        </is>
      </c>
      <c r="K71" s="15" t="inlineStr">
        <is>
          <t>AUTOMATED</t>
        </is>
      </c>
    </row>
    <row r="72" ht="20" customHeight="1">
      <c r="A72" s="13" t="inlineStr">
        <is>
          <t>TC_LOG_071</t>
        </is>
      </c>
      <c r="B72" s="14" t="inlineStr">
        <is>
          <t>Form Input Validation &amp; Empty Fields</t>
        </is>
      </c>
      <c r="C72" s="14" t="inlineStr">
        <is>
          <t>Verify form response when Form input validation permutation #16</t>
        </is>
      </c>
      <c r="D72" s="14" t="inlineStr">
        <is>
          <t>User on login page</t>
        </is>
      </c>
      <c r="E72" s="14" t="inlineStr">
        <is>
          <t>1. Navigate to login form
2. Set Username to 'user_val_16'
3. Set Password to ''
4. Trigger Submit action</t>
        </is>
      </c>
      <c r="F72" s="14" t="inlineStr">
        <is>
          <t>Username='user_val_16', Password=''</t>
        </is>
      </c>
      <c r="G72" s="14" t="inlineStr">
        <is>
          <t>Validation fails. Expected: Form prevents submission or displays validation error banner.</t>
        </is>
      </c>
      <c r="H72" s="13" t="inlineStr">
        <is>
          <t>Automated (Selenium)</t>
        </is>
      </c>
      <c r="I72" s="13" t="inlineStr">
        <is>
          <t>P2</t>
        </is>
      </c>
      <c r="J72" s="13" t="inlineStr">
        <is>
          <t>Medium</t>
        </is>
      </c>
      <c r="K72" s="15" t="inlineStr">
        <is>
          <t>PASSED</t>
        </is>
      </c>
    </row>
    <row r="73" ht="20" customHeight="1">
      <c r="A73" s="16" t="inlineStr">
        <is>
          <t>TC_LOG_072</t>
        </is>
      </c>
      <c r="B73" s="17" t="inlineStr">
        <is>
          <t>Form Input Validation &amp; Empty Fields</t>
        </is>
      </c>
      <c r="C73" s="17" t="inlineStr">
        <is>
          <t>Verify form response when Form input validation permutation #17</t>
        </is>
      </c>
      <c r="D73" s="17" t="inlineStr">
        <is>
          <t>User on login page</t>
        </is>
      </c>
      <c r="E73" s="17" t="inlineStr">
        <is>
          <t>1. Navigate to login form
2. Set Username to ''
3. Set Password to 'pass_val_17'
4. Trigger Submit action</t>
        </is>
      </c>
      <c r="F73" s="17" t="inlineStr">
        <is>
          <t>Username='', Password='pass_val_17'</t>
        </is>
      </c>
      <c r="G73" s="17" t="inlineStr">
        <is>
          <t>Validation fails. Expected: Form prevents submission or displays validation error banner.</t>
        </is>
      </c>
      <c r="H73" s="16" t="inlineStr">
        <is>
          <t>Automated (Selenium)</t>
        </is>
      </c>
      <c r="I73" s="16" t="inlineStr">
        <is>
          <t>P2</t>
        </is>
      </c>
      <c r="J73" s="16" t="inlineStr">
        <is>
          <t>Medium</t>
        </is>
      </c>
      <c r="K73" s="15" t="inlineStr">
        <is>
          <t>PASSED</t>
        </is>
      </c>
    </row>
    <row r="74" ht="20" customHeight="1">
      <c r="A74" s="13" t="inlineStr">
        <is>
          <t>TC_LOG_073</t>
        </is>
      </c>
      <c r="B74" s="14" t="inlineStr">
        <is>
          <t>Form Input Validation &amp; Empty Fields</t>
        </is>
      </c>
      <c r="C74" s="14" t="inlineStr">
        <is>
          <t>Verify form response when Form input validation permutation #18</t>
        </is>
      </c>
      <c r="D74" s="14" t="inlineStr">
        <is>
          <t>User on login page</t>
        </is>
      </c>
      <c r="E74" s="14" t="inlineStr">
        <is>
          <t>1. Navigate to login form
2. Set Username to 'user_val_18'
3. Set Password to ''
4. Trigger Submit action</t>
        </is>
      </c>
      <c r="F74" s="14" t="inlineStr">
        <is>
          <t>Username='user_val_18', Password=''</t>
        </is>
      </c>
      <c r="G74" s="14" t="inlineStr">
        <is>
          <t>Validation fails. Expected: Form prevents submission or displays validation error banner.</t>
        </is>
      </c>
      <c r="H74" s="13" t="inlineStr">
        <is>
          <t>Automated (Selenium)</t>
        </is>
      </c>
      <c r="I74" s="13" t="inlineStr">
        <is>
          <t>P2</t>
        </is>
      </c>
      <c r="J74" s="13" t="inlineStr">
        <is>
          <t>Medium</t>
        </is>
      </c>
      <c r="K74" s="15" t="inlineStr">
        <is>
          <t>AUTOMATED</t>
        </is>
      </c>
    </row>
    <row r="75" ht="20" customHeight="1">
      <c r="A75" s="16" t="inlineStr">
        <is>
          <t>TC_LOG_074</t>
        </is>
      </c>
      <c r="B75" s="17" t="inlineStr">
        <is>
          <t>Form Input Validation &amp; Empty Fields</t>
        </is>
      </c>
      <c r="C75" s="17" t="inlineStr">
        <is>
          <t>Verify form response when Form input validation permutation #19</t>
        </is>
      </c>
      <c r="D75" s="17" t="inlineStr">
        <is>
          <t>User on login page</t>
        </is>
      </c>
      <c r="E75" s="17" t="inlineStr">
        <is>
          <t>1. Navigate to login form
2. Set Username to ''
3. Set Password to 'pass_val_19'
4. Trigger Submit action</t>
        </is>
      </c>
      <c r="F75" s="17" t="inlineStr">
        <is>
          <t>Username='', Password='pass_val_19'</t>
        </is>
      </c>
      <c r="G75" s="17" t="inlineStr">
        <is>
          <t>Validation fails. Expected: Form prevents submission or displays validation error banner.</t>
        </is>
      </c>
      <c r="H75" s="16" t="inlineStr">
        <is>
          <t>Automated (Selenium)</t>
        </is>
      </c>
      <c r="I75" s="16" t="inlineStr">
        <is>
          <t>P2</t>
        </is>
      </c>
      <c r="J75" s="16" t="inlineStr">
        <is>
          <t>Medium</t>
        </is>
      </c>
      <c r="K75" s="15" t="inlineStr">
        <is>
          <t>PASSED</t>
        </is>
      </c>
    </row>
    <row r="76" ht="20" customHeight="1">
      <c r="A76" s="13" t="inlineStr">
        <is>
          <t>TC_LOG_075</t>
        </is>
      </c>
      <c r="B76" s="14" t="inlineStr">
        <is>
          <t>Form Input Validation &amp; Empty Fields</t>
        </is>
      </c>
      <c r="C76" s="14" t="inlineStr">
        <is>
          <t>Verify form response when Form input validation permutation #20</t>
        </is>
      </c>
      <c r="D76" s="14" t="inlineStr">
        <is>
          <t>User on login page</t>
        </is>
      </c>
      <c r="E76" s="14" t="inlineStr">
        <is>
          <t>1. Navigate to login form
2. Set Username to 'user_val_20'
3. Set Password to ''
4. Trigger Submit action</t>
        </is>
      </c>
      <c r="F76" s="14" t="inlineStr">
        <is>
          <t>Username='user_val_20', Password=''</t>
        </is>
      </c>
      <c r="G76" s="14" t="inlineStr">
        <is>
          <t>Validation fails. Expected: Form prevents submission or displays validation error banner.</t>
        </is>
      </c>
      <c r="H76" s="13" t="inlineStr">
        <is>
          <t>Automated (Selenium)</t>
        </is>
      </c>
      <c r="I76" s="13" t="inlineStr">
        <is>
          <t>P2</t>
        </is>
      </c>
      <c r="J76" s="13" t="inlineStr">
        <is>
          <t>Medium</t>
        </is>
      </c>
      <c r="K76" s="15" t="inlineStr">
        <is>
          <t>PASSED</t>
        </is>
      </c>
    </row>
    <row r="77" ht="20" customHeight="1">
      <c r="A77" s="16" t="inlineStr">
        <is>
          <t>TC_LOG_076</t>
        </is>
      </c>
      <c r="B77" s="17" t="inlineStr">
        <is>
          <t>Form Input Validation &amp; Empty Fields</t>
        </is>
      </c>
      <c r="C77" s="17" t="inlineStr">
        <is>
          <t>Verify form response when Form input validation permutation #21</t>
        </is>
      </c>
      <c r="D77" s="17" t="inlineStr">
        <is>
          <t>User on login page</t>
        </is>
      </c>
      <c r="E77" s="17" t="inlineStr">
        <is>
          <t>1. Navigate to login form
2. Set Username to ''
3. Set Password to 'pass_val_21'
4. Trigger Submit action</t>
        </is>
      </c>
      <c r="F77" s="17" t="inlineStr">
        <is>
          <t>Username='', Password='pass_val_21'</t>
        </is>
      </c>
      <c r="G77" s="17" t="inlineStr">
        <is>
          <t>Validation fails. Expected: Form prevents submission or displays validation error banner.</t>
        </is>
      </c>
      <c r="H77" s="16" t="inlineStr">
        <is>
          <t>Automated (Selenium)</t>
        </is>
      </c>
      <c r="I77" s="16" t="inlineStr">
        <is>
          <t>P2</t>
        </is>
      </c>
      <c r="J77" s="16" t="inlineStr">
        <is>
          <t>Medium</t>
        </is>
      </c>
      <c r="K77" s="15" t="inlineStr">
        <is>
          <t>AUTOMATED</t>
        </is>
      </c>
    </row>
    <row r="78" ht="20" customHeight="1">
      <c r="A78" s="13" t="inlineStr">
        <is>
          <t>TC_LOG_077</t>
        </is>
      </c>
      <c r="B78" s="14" t="inlineStr">
        <is>
          <t>Form Input Validation &amp; Empty Fields</t>
        </is>
      </c>
      <c r="C78" s="14" t="inlineStr">
        <is>
          <t>Verify form response when Form input validation permutation #22</t>
        </is>
      </c>
      <c r="D78" s="14" t="inlineStr">
        <is>
          <t>User on login page</t>
        </is>
      </c>
      <c r="E78" s="14" t="inlineStr">
        <is>
          <t>1. Navigate to login form
2. Set Username to 'user_val_22'
3. Set Password to ''
4. Trigger Submit action</t>
        </is>
      </c>
      <c r="F78" s="14" t="inlineStr">
        <is>
          <t>Username='user_val_22', Password=''</t>
        </is>
      </c>
      <c r="G78" s="14" t="inlineStr">
        <is>
          <t>Validation fails. Expected: Form prevents submission or displays validation error banner.</t>
        </is>
      </c>
      <c r="H78" s="13" t="inlineStr">
        <is>
          <t>Automated (Selenium)</t>
        </is>
      </c>
      <c r="I78" s="13" t="inlineStr">
        <is>
          <t>P2</t>
        </is>
      </c>
      <c r="J78" s="13" t="inlineStr">
        <is>
          <t>Medium</t>
        </is>
      </c>
      <c r="K78" s="15" t="inlineStr">
        <is>
          <t>PASSED</t>
        </is>
      </c>
    </row>
    <row r="79" ht="20" customHeight="1">
      <c r="A79" s="16" t="inlineStr">
        <is>
          <t>TC_LOG_078</t>
        </is>
      </c>
      <c r="B79" s="17" t="inlineStr">
        <is>
          <t>Form Input Validation &amp; Empty Fields</t>
        </is>
      </c>
      <c r="C79" s="17" t="inlineStr">
        <is>
          <t>Verify form response when Form input validation permutation #23</t>
        </is>
      </c>
      <c r="D79" s="17" t="inlineStr">
        <is>
          <t>User on login page</t>
        </is>
      </c>
      <c r="E79" s="17" t="inlineStr">
        <is>
          <t>1. Navigate to login form
2. Set Username to ''
3. Set Password to 'pass_val_23'
4. Trigger Submit action</t>
        </is>
      </c>
      <c r="F79" s="17" t="inlineStr">
        <is>
          <t>Username='', Password='pass_val_23'</t>
        </is>
      </c>
      <c r="G79" s="17" t="inlineStr">
        <is>
          <t>Validation fails. Expected: Form prevents submission or displays validation error banner.</t>
        </is>
      </c>
      <c r="H79" s="16" t="inlineStr">
        <is>
          <t>Automated (Selenium)</t>
        </is>
      </c>
      <c r="I79" s="16" t="inlineStr">
        <is>
          <t>P2</t>
        </is>
      </c>
      <c r="J79" s="16" t="inlineStr">
        <is>
          <t>Medium</t>
        </is>
      </c>
      <c r="K79" s="15" t="inlineStr">
        <is>
          <t>PASSED</t>
        </is>
      </c>
    </row>
    <row r="80" ht="20" customHeight="1">
      <c r="A80" s="13" t="inlineStr">
        <is>
          <t>TC_LOG_079</t>
        </is>
      </c>
      <c r="B80" s="14" t="inlineStr">
        <is>
          <t>Form Input Validation &amp; Empty Fields</t>
        </is>
      </c>
      <c r="C80" s="14" t="inlineStr">
        <is>
          <t>Verify form response when Form input validation permutation #24</t>
        </is>
      </c>
      <c r="D80" s="14" t="inlineStr">
        <is>
          <t>User on login page</t>
        </is>
      </c>
      <c r="E80" s="14" t="inlineStr">
        <is>
          <t>1. Navigate to login form
2. Set Username to 'user_val_24'
3. Set Password to ''
4. Trigger Submit action</t>
        </is>
      </c>
      <c r="F80" s="14" t="inlineStr">
        <is>
          <t>Username='user_val_24', Password=''</t>
        </is>
      </c>
      <c r="G80" s="14" t="inlineStr">
        <is>
          <t>Validation fails. Expected: Form prevents submission or displays validation error banner.</t>
        </is>
      </c>
      <c r="H80" s="13" t="inlineStr">
        <is>
          <t>Automated (Selenium)</t>
        </is>
      </c>
      <c r="I80" s="13" t="inlineStr">
        <is>
          <t>P2</t>
        </is>
      </c>
      <c r="J80" s="13" t="inlineStr">
        <is>
          <t>Medium</t>
        </is>
      </c>
      <c r="K80" s="15" t="inlineStr">
        <is>
          <t>AUTOMATED</t>
        </is>
      </c>
    </row>
    <row r="81" ht="20" customHeight="1">
      <c r="A81" s="16" t="inlineStr">
        <is>
          <t>TC_LOG_080</t>
        </is>
      </c>
      <c r="B81" s="17" t="inlineStr">
        <is>
          <t>Form Input Validation &amp; Empty Fields</t>
        </is>
      </c>
      <c r="C81" s="17" t="inlineStr">
        <is>
          <t>Verify form response when Form input validation permutation #25</t>
        </is>
      </c>
      <c r="D81" s="17" t="inlineStr">
        <is>
          <t>User on login page</t>
        </is>
      </c>
      <c r="E81" s="17" t="inlineStr">
        <is>
          <t>1. Navigate to login form
2. Set Username to ''
3. Set Password to 'pass_val_25'
4. Trigger Submit action</t>
        </is>
      </c>
      <c r="F81" s="17" t="inlineStr">
        <is>
          <t>Username='', Password='pass_val_25'</t>
        </is>
      </c>
      <c r="G81" s="17" t="inlineStr">
        <is>
          <t>Validation fails. Expected: Form prevents submission or displays validation error banner.</t>
        </is>
      </c>
      <c r="H81" s="16" t="inlineStr">
        <is>
          <t>Automated (Selenium)</t>
        </is>
      </c>
      <c r="I81" s="16" t="inlineStr">
        <is>
          <t>P2</t>
        </is>
      </c>
      <c r="J81" s="16" t="inlineStr">
        <is>
          <t>Medium</t>
        </is>
      </c>
      <c r="K81" s="15" t="inlineStr">
        <is>
          <t>PASSED</t>
        </is>
      </c>
    </row>
    <row r="82" ht="20" customHeight="1">
      <c r="A82" s="13" t="inlineStr">
        <is>
          <t>TC_LOG_081</t>
        </is>
      </c>
      <c r="B82" s="14" t="inlineStr">
        <is>
          <t>Boundary Value Analysis &amp; Limits</t>
        </is>
      </c>
      <c r="C82" s="14" t="inlineStr">
        <is>
          <t>Verify input boundaries for field length of 20 characters</t>
        </is>
      </c>
      <c r="D82" s="14" t="inlineStr">
        <is>
          <t>Login form visible</t>
        </is>
      </c>
      <c r="E82" s="14" t="inlineStr">
        <is>
          <t>1. Input 20-char string into Username field
2. Input 20-char string into Password field
3. Click Submit</t>
        </is>
      </c>
      <c r="F82" s="14" t="inlineStr">
        <is>
          <t>Username_Length=20, Password_Length=20</t>
        </is>
      </c>
      <c r="G82" s="14" t="inlineStr">
        <is>
          <t>System handles 20-char input gracefully without layout breakage, SQL truncation error, or 500 Server Error.</t>
        </is>
      </c>
      <c r="H82" s="13" t="inlineStr">
        <is>
          <t>Automated (Selenium)</t>
        </is>
      </c>
      <c r="I82" s="13" t="inlineStr">
        <is>
          <t>P2</t>
        </is>
      </c>
      <c r="J82" s="13" t="inlineStr">
        <is>
          <t>Medium</t>
        </is>
      </c>
      <c r="K82" s="15" t="inlineStr">
        <is>
          <t>AUTOMATED</t>
        </is>
      </c>
    </row>
    <row r="83" ht="20" customHeight="1">
      <c r="A83" s="16" t="inlineStr">
        <is>
          <t>TC_LOG_082</t>
        </is>
      </c>
      <c r="B83" s="17" t="inlineStr">
        <is>
          <t>Boundary Value Analysis &amp; Limits</t>
        </is>
      </c>
      <c r="C83" s="17" t="inlineStr">
        <is>
          <t>Verify input boundaries for field length of 40 characters</t>
        </is>
      </c>
      <c r="D83" s="17" t="inlineStr">
        <is>
          <t>Login form visible</t>
        </is>
      </c>
      <c r="E83" s="17" t="inlineStr">
        <is>
          <t>1. Input 40-char string into Username field
2. Input 40-char string into Password field
3. Click Submit</t>
        </is>
      </c>
      <c r="F83" s="17" t="inlineStr">
        <is>
          <t>Username_Length=40, Password_Length=40</t>
        </is>
      </c>
      <c r="G83" s="17" t="inlineStr">
        <is>
          <t>System handles 40-char input gracefully without layout breakage, SQL truncation error, or 500 Server Error.</t>
        </is>
      </c>
      <c r="H83" s="16" t="inlineStr">
        <is>
          <t>Automated (Selenium)</t>
        </is>
      </c>
      <c r="I83" s="16" t="inlineStr">
        <is>
          <t>P2</t>
        </is>
      </c>
      <c r="J83" s="16" t="inlineStr">
        <is>
          <t>Medium</t>
        </is>
      </c>
      <c r="K83" s="15" t="inlineStr">
        <is>
          <t>AUTOMATED</t>
        </is>
      </c>
    </row>
    <row r="84" ht="20" customHeight="1">
      <c r="A84" s="13" t="inlineStr">
        <is>
          <t>TC_LOG_083</t>
        </is>
      </c>
      <c r="B84" s="14" t="inlineStr">
        <is>
          <t>Boundary Value Analysis &amp; Limits</t>
        </is>
      </c>
      <c r="C84" s="14" t="inlineStr">
        <is>
          <t>Verify input boundaries for field length of 60 characters</t>
        </is>
      </c>
      <c r="D84" s="14" t="inlineStr">
        <is>
          <t>Login form visible</t>
        </is>
      </c>
      <c r="E84" s="14" t="inlineStr">
        <is>
          <t>1. Input 60-char string into Username field
2. Input 60-char string into Password field
3. Click Submit</t>
        </is>
      </c>
      <c r="F84" s="14" t="inlineStr">
        <is>
          <t>Username_Length=60, Password_Length=60</t>
        </is>
      </c>
      <c r="G84" s="14" t="inlineStr">
        <is>
          <t>System handles 60-char input gracefully without layout breakage, SQL truncation error, or 500 Server Error.</t>
        </is>
      </c>
      <c r="H84" s="13" t="inlineStr">
        <is>
          <t>Automated (Selenium)</t>
        </is>
      </c>
      <c r="I84" s="13" t="inlineStr">
        <is>
          <t>P2</t>
        </is>
      </c>
      <c r="J84" s="13" t="inlineStr">
        <is>
          <t>Medium</t>
        </is>
      </c>
      <c r="K84" s="15" t="inlineStr">
        <is>
          <t>AUTOMATED</t>
        </is>
      </c>
    </row>
    <row r="85" ht="20" customHeight="1">
      <c r="A85" s="16" t="inlineStr">
        <is>
          <t>TC_LOG_084</t>
        </is>
      </c>
      <c r="B85" s="17" t="inlineStr">
        <is>
          <t>Boundary Value Analysis &amp; Limits</t>
        </is>
      </c>
      <c r="C85" s="17" t="inlineStr">
        <is>
          <t>Verify input boundaries for field length of 80 characters</t>
        </is>
      </c>
      <c r="D85" s="17" t="inlineStr">
        <is>
          <t>Login form visible</t>
        </is>
      </c>
      <c r="E85" s="17" t="inlineStr">
        <is>
          <t>1. Input 80-char string into Username field
2. Input 80-char string into Password field
3. Click Submit</t>
        </is>
      </c>
      <c r="F85" s="17" t="inlineStr">
        <is>
          <t>Username_Length=80, Password_Length=80</t>
        </is>
      </c>
      <c r="G85" s="17" t="inlineStr">
        <is>
          <t>System handles 80-char input gracefully without layout breakage, SQL truncation error, or 500 Server Error.</t>
        </is>
      </c>
      <c r="H85" s="16" t="inlineStr">
        <is>
          <t>Automated (Selenium)</t>
        </is>
      </c>
      <c r="I85" s="16" t="inlineStr">
        <is>
          <t>P2</t>
        </is>
      </c>
      <c r="J85" s="16" t="inlineStr">
        <is>
          <t>Medium</t>
        </is>
      </c>
      <c r="K85" s="15" t="inlineStr">
        <is>
          <t>AUTOMATED</t>
        </is>
      </c>
    </row>
    <row r="86" ht="20" customHeight="1">
      <c r="A86" s="13" t="inlineStr">
        <is>
          <t>TC_LOG_085</t>
        </is>
      </c>
      <c r="B86" s="14" t="inlineStr">
        <is>
          <t>Boundary Value Analysis &amp; Limits</t>
        </is>
      </c>
      <c r="C86" s="14" t="inlineStr">
        <is>
          <t>Verify input boundaries for field length of 100 characters</t>
        </is>
      </c>
      <c r="D86" s="14" t="inlineStr">
        <is>
          <t>Login form visible</t>
        </is>
      </c>
      <c r="E86" s="14" t="inlineStr">
        <is>
          <t>1. Input 100-char string into Username field
2. Input 100-char string into Password field
3. Click Submit</t>
        </is>
      </c>
      <c r="F86" s="14" t="inlineStr">
        <is>
          <t>Username_Length=100, Password_Length=100</t>
        </is>
      </c>
      <c r="G86" s="14" t="inlineStr">
        <is>
          <t>System handles 100-char input gracefully without layout breakage, SQL truncation error, or 500 Server Error.</t>
        </is>
      </c>
      <c r="H86" s="13" t="inlineStr">
        <is>
          <t>Automated (Selenium)</t>
        </is>
      </c>
      <c r="I86" s="13" t="inlineStr">
        <is>
          <t>P2</t>
        </is>
      </c>
      <c r="J86" s="13" t="inlineStr">
        <is>
          <t>Medium</t>
        </is>
      </c>
      <c r="K86" s="15" t="inlineStr">
        <is>
          <t>AUTOMATED</t>
        </is>
      </c>
    </row>
    <row r="87" ht="20" customHeight="1">
      <c r="A87" s="16" t="inlineStr">
        <is>
          <t>TC_LOG_086</t>
        </is>
      </c>
      <c r="B87" s="17" t="inlineStr">
        <is>
          <t>Boundary Value Analysis &amp; Limits</t>
        </is>
      </c>
      <c r="C87" s="17" t="inlineStr">
        <is>
          <t>Verify input boundaries for field length of 120 characters</t>
        </is>
      </c>
      <c r="D87" s="17" t="inlineStr">
        <is>
          <t>Login form visible</t>
        </is>
      </c>
      <c r="E87" s="17" t="inlineStr">
        <is>
          <t>1. Input 120-char string into Username field
2. Input 120-char string into Password field
3. Click Submit</t>
        </is>
      </c>
      <c r="F87" s="17" t="inlineStr">
        <is>
          <t>Username_Length=120, Password_Length=120</t>
        </is>
      </c>
      <c r="G87" s="17" t="inlineStr">
        <is>
          <t>System handles 120-char input gracefully without layout breakage, SQL truncation error, or 500 Server Error.</t>
        </is>
      </c>
      <c r="H87" s="16" t="inlineStr">
        <is>
          <t>Automated (Selenium)</t>
        </is>
      </c>
      <c r="I87" s="16" t="inlineStr">
        <is>
          <t>P2</t>
        </is>
      </c>
      <c r="J87" s="16" t="inlineStr">
        <is>
          <t>Medium</t>
        </is>
      </c>
      <c r="K87" s="15" t="inlineStr">
        <is>
          <t>AUTOMATED</t>
        </is>
      </c>
    </row>
    <row r="88" ht="20" customHeight="1">
      <c r="A88" s="13" t="inlineStr">
        <is>
          <t>TC_LOG_087</t>
        </is>
      </c>
      <c r="B88" s="14" t="inlineStr">
        <is>
          <t>Boundary Value Analysis &amp; Limits</t>
        </is>
      </c>
      <c r="C88" s="14" t="inlineStr">
        <is>
          <t>Verify input boundaries for field length of 140 characters</t>
        </is>
      </c>
      <c r="D88" s="14" t="inlineStr">
        <is>
          <t>Login form visible</t>
        </is>
      </c>
      <c r="E88" s="14" t="inlineStr">
        <is>
          <t>1. Input 140-char string into Username field
2. Input 140-char string into Password field
3. Click Submit</t>
        </is>
      </c>
      <c r="F88" s="14" t="inlineStr">
        <is>
          <t>Username_Length=140, Password_Length=140</t>
        </is>
      </c>
      <c r="G88" s="14" t="inlineStr">
        <is>
          <t>System handles 140-char input gracefully without layout breakage, SQL truncation error, or 500 Server Error.</t>
        </is>
      </c>
      <c r="H88" s="13" t="inlineStr">
        <is>
          <t>Automated (Selenium)</t>
        </is>
      </c>
      <c r="I88" s="13" t="inlineStr">
        <is>
          <t>P2</t>
        </is>
      </c>
      <c r="J88" s="13" t="inlineStr">
        <is>
          <t>Medium</t>
        </is>
      </c>
      <c r="K88" s="15" t="inlineStr">
        <is>
          <t>AUTOMATED</t>
        </is>
      </c>
    </row>
    <row r="89" ht="20" customHeight="1">
      <c r="A89" s="16" t="inlineStr">
        <is>
          <t>TC_LOG_088</t>
        </is>
      </c>
      <c r="B89" s="17" t="inlineStr">
        <is>
          <t>Boundary Value Analysis &amp; Limits</t>
        </is>
      </c>
      <c r="C89" s="17" t="inlineStr">
        <is>
          <t>Verify input boundaries for field length of 160 characters</t>
        </is>
      </c>
      <c r="D89" s="17" t="inlineStr">
        <is>
          <t>Login form visible</t>
        </is>
      </c>
      <c r="E89" s="17" t="inlineStr">
        <is>
          <t>1. Input 160-char string into Username field
2. Input 160-char string into Password field
3. Click Submit</t>
        </is>
      </c>
      <c r="F89" s="17" t="inlineStr">
        <is>
          <t>Username_Length=160, Password_Length=160</t>
        </is>
      </c>
      <c r="G89" s="17" t="inlineStr">
        <is>
          <t>System handles 160-char input gracefully without layout breakage, SQL truncation error, or 500 Server Error.</t>
        </is>
      </c>
      <c r="H89" s="16" t="inlineStr">
        <is>
          <t>Automated (Selenium)</t>
        </is>
      </c>
      <c r="I89" s="16" t="inlineStr">
        <is>
          <t>P2</t>
        </is>
      </c>
      <c r="J89" s="16" t="inlineStr">
        <is>
          <t>Medium</t>
        </is>
      </c>
      <c r="K89" s="15" t="inlineStr">
        <is>
          <t>AUTOMATED</t>
        </is>
      </c>
    </row>
    <row r="90" ht="20" customHeight="1">
      <c r="A90" s="13" t="inlineStr">
        <is>
          <t>TC_LOG_089</t>
        </is>
      </c>
      <c r="B90" s="14" t="inlineStr">
        <is>
          <t>Boundary Value Analysis &amp; Limits</t>
        </is>
      </c>
      <c r="C90" s="14" t="inlineStr">
        <is>
          <t>Verify input boundaries for field length of 180 characters</t>
        </is>
      </c>
      <c r="D90" s="14" t="inlineStr">
        <is>
          <t>Login form visible</t>
        </is>
      </c>
      <c r="E90" s="14" t="inlineStr">
        <is>
          <t>1. Input 180-char string into Username field
2. Input 180-char string into Password field
3. Click Submit</t>
        </is>
      </c>
      <c r="F90" s="14" t="inlineStr">
        <is>
          <t>Username_Length=180, Password_Length=180</t>
        </is>
      </c>
      <c r="G90" s="14" t="inlineStr">
        <is>
          <t>System handles 180-char input gracefully without layout breakage, SQL truncation error, or 500 Server Error.</t>
        </is>
      </c>
      <c r="H90" s="13" t="inlineStr">
        <is>
          <t>Automated (Selenium)</t>
        </is>
      </c>
      <c r="I90" s="13" t="inlineStr">
        <is>
          <t>P2</t>
        </is>
      </c>
      <c r="J90" s="13" t="inlineStr">
        <is>
          <t>Medium</t>
        </is>
      </c>
      <c r="K90" s="15" t="inlineStr">
        <is>
          <t>AUTOMATED</t>
        </is>
      </c>
    </row>
    <row r="91" ht="20" customHeight="1">
      <c r="A91" s="16" t="inlineStr">
        <is>
          <t>TC_LOG_090</t>
        </is>
      </c>
      <c r="B91" s="17" t="inlineStr">
        <is>
          <t>Boundary Value Analysis &amp; Limits</t>
        </is>
      </c>
      <c r="C91" s="17" t="inlineStr">
        <is>
          <t>Verify input boundaries for field length of 200 characters</t>
        </is>
      </c>
      <c r="D91" s="17" t="inlineStr">
        <is>
          <t>Login form visible</t>
        </is>
      </c>
      <c r="E91" s="17" t="inlineStr">
        <is>
          <t>1. Input 200-char string into Username field
2. Input 200-char string into Password field
3. Click Submit</t>
        </is>
      </c>
      <c r="F91" s="17" t="inlineStr">
        <is>
          <t>Username_Length=200, Password_Length=200</t>
        </is>
      </c>
      <c r="G91" s="17" t="inlineStr">
        <is>
          <t>System handles 200-char input gracefully without layout breakage, SQL truncation error, or 500 Server Error.</t>
        </is>
      </c>
      <c r="H91" s="16" t="inlineStr">
        <is>
          <t>Automated (Selenium)</t>
        </is>
      </c>
      <c r="I91" s="16" t="inlineStr">
        <is>
          <t>P2</t>
        </is>
      </c>
      <c r="J91" s="16" t="inlineStr">
        <is>
          <t>Medium</t>
        </is>
      </c>
      <c r="K91" s="15" t="inlineStr">
        <is>
          <t>AUTOMATED</t>
        </is>
      </c>
    </row>
    <row r="92" ht="20" customHeight="1">
      <c r="A92" s="13" t="inlineStr">
        <is>
          <t>TC_LOG_091</t>
        </is>
      </c>
      <c r="B92" s="14" t="inlineStr">
        <is>
          <t>Boundary Value Analysis &amp; Limits</t>
        </is>
      </c>
      <c r="C92" s="14" t="inlineStr">
        <is>
          <t>Verify input boundaries for field length of 220 characters</t>
        </is>
      </c>
      <c r="D92" s="14" t="inlineStr">
        <is>
          <t>Login form visible</t>
        </is>
      </c>
      <c r="E92" s="14" t="inlineStr">
        <is>
          <t>1. Input 220-char string into Username field
2. Input 220-char string into Password field
3. Click Submit</t>
        </is>
      </c>
      <c r="F92" s="14" t="inlineStr">
        <is>
          <t>Username_Length=220, Password_Length=220</t>
        </is>
      </c>
      <c r="G92" s="14" t="inlineStr">
        <is>
          <t>System handles 220-char input gracefully without layout breakage, SQL truncation error, or 500 Server Error.</t>
        </is>
      </c>
      <c r="H92" s="13" t="inlineStr">
        <is>
          <t>Automated (Selenium)</t>
        </is>
      </c>
      <c r="I92" s="13" t="inlineStr">
        <is>
          <t>P3</t>
        </is>
      </c>
      <c r="J92" s="13" t="inlineStr">
        <is>
          <t>Low</t>
        </is>
      </c>
      <c r="K92" s="15" t="inlineStr">
        <is>
          <t>AUTOMATED</t>
        </is>
      </c>
    </row>
    <row r="93" ht="20" customHeight="1">
      <c r="A93" s="16" t="inlineStr">
        <is>
          <t>TC_LOG_092</t>
        </is>
      </c>
      <c r="B93" s="17" t="inlineStr">
        <is>
          <t>Boundary Value Analysis &amp; Limits</t>
        </is>
      </c>
      <c r="C93" s="17" t="inlineStr">
        <is>
          <t>Verify input boundaries for field length of 240 characters</t>
        </is>
      </c>
      <c r="D93" s="17" t="inlineStr">
        <is>
          <t>Login form visible</t>
        </is>
      </c>
      <c r="E93" s="17" t="inlineStr">
        <is>
          <t>1. Input 240-char string into Username field
2. Input 240-char string into Password field
3. Click Submit</t>
        </is>
      </c>
      <c r="F93" s="17" t="inlineStr">
        <is>
          <t>Username_Length=240, Password_Length=240</t>
        </is>
      </c>
      <c r="G93" s="17" t="inlineStr">
        <is>
          <t>System handles 240-char input gracefully without layout breakage, SQL truncation error, or 500 Server Error.</t>
        </is>
      </c>
      <c r="H93" s="16" t="inlineStr">
        <is>
          <t>Automated (Selenium)</t>
        </is>
      </c>
      <c r="I93" s="16" t="inlineStr">
        <is>
          <t>P3</t>
        </is>
      </c>
      <c r="J93" s="16" t="inlineStr">
        <is>
          <t>Low</t>
        </is>
      </c>
      <c r="K93" s="15" t="inlineStr">
        <is>
          <t>AUTOMATED</t>
        </is>
      </c>
    </row>
    <row r="94" ht="20" customHeight="1">
      <c r="A94" s="13" t="inlineStr">
        <is>
          <t>TC_LOG_093</t>
        </is>
      </c>
      <c r="B94" s="14" t="inlineStr">
        <is>
          <t>Boundary Value Analysis &amp; Limits</t>
        </is>
      </c>
      <c r="C94" s="14" t="inlineStr">
        <is>
          <t>Verify input boundaries for field length of 260 characters</t>
        </is>
      </c>
      <c r="D94" s="14" t="inlineStr">
        <is>
          <t>Login form visible</t>
        </is>
      </c>
      <c r="E94" s="14" t="inlineStr">
        <is>
          <t>1. Input 260-char string into Username field
2. Input 260-char string into Password field
3. Click Submit</t>
        </is>
      </c>
      <c r="F94" s="14" t="inlineStr">
        <is>
          <t>Username_Length=260, Password_Length=260</t>
        </is>
      </c>
      <c r="G94" s="14" t="inlineStr">
        <is>
          <t>System handles 260-char input gracefully without layout breakage, SQL truncation error, or 500 Server Error.</t>
        </is>
      </c>
      <c r="H94" s="13" t="inlineStr">
        <is>
          <t>Automated (Selenium)</t>
        </is>
      </c>
      <c r="I94" s="13" t="inlineStr">
        <is>
          <t>P3</t>
        </is>
      </c>
      <c r="J94" s="13" t="inlineStr">
        <is>
          <t>Low</t>
        </is>
      </c>
      <c r="K94" s="15" t="inlineStr">
        <is>
          <t>AUTOMATED</t>
        </is>
      </c>
    </row>
    <row r="95" ht="20" customHeight="1">
      <c r="A95" s="16" t="inlineStr">
        <is>
          <t>TC_LOG_094</t>
        </is>
      </c>
      <c r="B95" s="17" t="inlineStr">
        <is>
          <t>Boundary Value Analysis &amp; Limits</t>
        </is>
      </c>
      <c r="C95" s="17" t="inlineStr">
        <is>
          <t>Verify input boundaries for field length of 280 characters</t>
        </is>
      </c>
      <c r="D95" s="17" t="inlineStr">
        <is>
          <t>Login form visible</t>
        </is>
      </c>
      <c r="E95" s="17" t="inlineStr">
        <is>
          <t>1. Input 280-char string into Username field
2. Input 280-char string into Password field
3. Click Submit</t>
        </is>
      </c>
      <c r="F95" s="17" t="inlineStr">
        <is>
          <t>Username_Length=280, Password_Length=280</t>
        </is>
      </c>
      <c r="G95" s="17" t="inlineStr">
        <is>
          <t>System handles 280-char input gracefully without layout breakage, SQL truncation error, or 500 Server Error.</t>
        </is>
      </c>
      <c r="H95" s="16" t="inlineStr">
        <is>
          <t>Automated (Selenium)</t>
        </is>
      </c>
      <c r="I95" s="16" t="inlineStr">
        <is>
          <t>P3</t>
        </is>
      </c>
      <c r="J95" s="16" t="inlineStr">
        <is>
          <t>Low</t>
        </is>
      </c>
      <c r="K95" s="15" t="inlineStr">
        <is>
          <t>AUTOMATED</t>
        </is>
      </c>
    </row>
    <row r="96" ht="20" customHeight="1">
      <c r="A96" s="13" t="inlineStr">
        <is>
          <t>TC_LOG_095</t>
        </is>
      </c>
      <c r="B96" s="14" t="inlineStr">
        <is>
          <t>Boundary Value Analysis &amp; Limits</t>
        </is>
      </c>
      <c r="C96" s="14" t="inlineStr">
        <is>
          <t>Verify input boundaries for field length of 300 characters</t>
        </is>
      </c>
      <c r="D96" s="14" t="inlineStr">
        <is>
          <t>Login form visible</t>
        </is>
      </c>
      <c r="E96" s="14" t="inlineStr">
        <is>
          <t>1. Input 300-char string into Username field
2. Input 300-char string into Password field
3. Click Submit</t>
        </is>
      </c>
      <c r="F96" s="14" t="inlineStr">
        <is>
          <t>Username_Length=300, Password_Length=300</t>
        </is>
      </c>
      <c r="G96" s="14" t="inlineStr">
        <is>
          <t>System handles 300-char input gracefully without layout breakage, SQL truncation error, or 500 Server Error.</t>
        </is>
      </c>
      <c r="H96" s="13" t="inlineStr">
        <is>
          <t>Automated (Selenium)</t>
        </is>
      </c>
      <c r="I96" s="13" t="inlineStr">
        <is>
          <t>P3</t>
        </is>
      </c>
      <c r="J96" s="13" t="inlineStr">
        <is>
          <t>Low</t>
        </is>
      </c>
      <c r="K96" s="15" t="inlineStr">
        <is>
          <t>AUTOMATED</t>
        </is>
      </c>
    </row>
    <row r="97" ht="20" customHeight="1">
      <c r="A97" s="16" t="inlineStr">
        <is>
          <t>TC_LOG_096</t>
        </is>
      </c>
      <c r="B97" s="17" t="inlineStr">
        <is>
          <t>Boundary Value Analysis &amp; Limits</t>
        </is>
      </c>
      <c r="C97" s="17" t="inlineStr">
        <is>
          <t>Verify input boundaries for field length of 320 characters</t>
        </is>
      </c>
      <c r="D97" s="17" t="inlineStr">
        <is>
          <t>Login form visible</t>
        </is>
      </c>
      <c r="E97" s="17" t="inlineStr">
        <is>
          <t>1. Input 320-char string into Username field
2. Input 320-char string into Password field
3. Click Submit</t>
        </is>
      </c>
      <c r="F97" s="17" t="inlineStr">
        <is>
          <t>Username_Length=320, Password_Length=320</t>
        </is>
      </c>
      <c r="G97" s="17" t="inlineStr">
        <is>
          <t>System handles 320-char input gracefully without layout breakage, SQL truncation error, or 500 Server Error.</t>
        </is>
      </c>
      <c r="H97" s="16" t="inlineStr">
        <is>
          <t>Automated (Selenium)</t>
        </is>
      </c>
      <c r="I97" s="16" t="inlineStr">
        <is>
          <t>P3</t>
        </is>
      </c>
      <c r="J97" s="16" t="inlineStr">
        <is>
          <t>Low</t>
        </is>
      </c>
      <c r="K97" s="15" t="inlineStr">
        <is>
          <t>AUTOMATED</t>
        </is>
      </c>
    </row>
    <row r="98" ht="20" customHeight="1">
      <c r="A98" s="13" t="inlineStr">
        <is>
          <t>TC_LOG_097</t>
        </is>
      </c>
      <c r="B98" s="14" t="inlineStr">
        <is>
          <t>Boundary Value Analysis &amp; Limits</t>
        </is>
      </c>
      <c r="C98" s="14" t="inlineStr">
        <is>
          <t>Verify input boundaries for field length of 340 characters</t>
        </is>
      </c>
      <c r="D98" s="14" t="inlineStr">
        <is>
          <t>Login form visible</t>
        </is>
      </c>
      <c r="E98" s="14" t="inlineStr">
        <is>
          <t>1. Input 340-char string into Username field
2. Input 340-char string into Password field
3. Click Submit</t>
        </is>
      </c>
      <c r="F98" s="14" t="inlineStr">
        <is>
          <t>Username_Length=340, Password_Length=340</t>
        </is>
      </c>
      <c r="G98" s="14" t="inlineStr">
        <is>
          <t>System handles 340-char input gracefully without layout breakage, SQL truncation error, or 500 Server Error.</t>
        </is>
      </c>
      <c r="H98" s="13" t="inlineStr">
        <is>
          <t>Automated (Selenium)</t>
        </is>
      </c>
      <c r="I98" s="13" t="inlineStr">
        <is>
          <t>P3</t>
        </is>
      </c>
      <c r="J98" s="13" t="inlineStr">
        <is>
          <t>Low</t>
        </is>
      </c>
      <c r="K98" s="15" t="inlineStr">
        <is>
          <t>AUTOMATED</t>
        </is>
      </c>
    </row>
    <row r="99" ht="20" customHeight="1">
      <c r="A99" s="16" t="inlineStr">
        <is>
          <t>TC_LOG_098</t>
        </is>
      </c>
      <c r="B99" s="17" t="inlineStr">
        <is>
          <t>Boundary Value Analysis &amp; Limits</t>
        </is>
      </c>
      <c r="C99" s="17" t="inlineStr">
        <is>
          <t>Verify input boundaries for field length of 360 characters</t>
        </is>
      </c>
      <c r="D99" s="17" t="inlineStr">
        <is>
          <t>Login form visible</t>
        </is>
      </c>
      <c r="E99" s="17" t="inlineStr">
        <is>
          <t>1. Input 360-char string into Username field
2. Input 360-char string into Password field
3. Click Submit</t>
        </is>
      </c>
      <c r="F99" s="17" t="inlineStr">
        <is>
          <t>Username_Length=360, Password_Length=360</t>
        </is>
      </c>
      <c r="G99" s="17" t="inlineStr">
        <is>
          <t>System handles 360-char input gracefully without layout breakage, SQL truncation error, or 500 Server Error.</t>
        </is>
      </c>
      <c r="H99" s="16" t="inlineStr">
        <is>
          <t>Automated (Selenium)</t>
        </is>
      </c>
      <c r="I99" s="16" t="inlineStr">
        <is>
          <t>P3</t>
        </is>
      </c>
      <c r="J99" s="16" t="inlineStr">
        <is>
          <t>Low</t>
        </is>
      </c>
      <c r="K99" s="15" t="inlineStr">
        <is>
          <t>AUTOMATED</t>
        </is>
      </c>
    </row>
    <row r="100" ht="20" customHeight="1">
      <c r="A100" s="13" t="inlineStr">
        <is>
          <t>TC_LOG_099</t>
        </is>
      </c>
      <c r="B100" s="14" t="inlineStr">
        <is>
          <t>Boundary Value Analysis &amp; Limits</t>
        </is>
      </c>
      <c r="C100" s="14" t="inlineStr">
        <is>
          <t>Verify input boundaries for field length of 380 characters</t>
        </is>
      </c>
      <c r="D100" s="14" t="inlineStr">
        <is>
          <t>Login form visible</t>
        </is>
      </c>
      <c r="E100" s="14" t="inlineStr">
        <is>
          <t>1. Input 380-char string into Username field
2. Input 380-char string into Password field
3. Click Submit</t>
        </is>
      </c>
      <c r="F100" s="14" t="inlineStr">
        <is>
          <t>Username_Length=380, Password_Length=380</t>
        </is>
      </c>
      <c r="G100" s="14" t="inlineStr">
        <is>
          <t>System handles 380-char input gracefully without layout breakage, SQL truncation error, or 500 Server Error.</t>
        </is>
      </c>
      <c r="H100" s="13" t="inlineStr">
        <is>
          <t>Automated (Selenium)</t>
        </is>
      </c>
      <c r="I100" s="13" t="inlineStr">
        <is>
          <t>P3</t>
        </is>
      </c>
      <c r="J100" s="13" t="inlineStr">
        <is>
          <t>Low</t>
        </is>
      </c>
      <c r="K100" s="15" t="inlineStr">
        <is>
          <t>AUTOMATED</t>
        </is>
      </c>
    </row>
    <row r="101" ht="20" customHeight="1">
      <c r="A101" s="16" t="inlineStr">
        <is>
          <t>TC_LOG_100</t>
        </is>
      </c>
      <c r="B101" s="17" t="inlineStr">
        <is>
          <t>Boundary Value Analysis &amp; Limits</t>
        </is>
      </c>
      <c r="C101" s="17" t="inlineStr">
        <is>
          <t>Verify input boundaries for field length of 400 characters</t>
        </is>
      </c>
      <c r="D101" s="17" t="inlineStr">
        <is>
          <t>Login form visible</t>
        </is>
      </c>
      <c r="E101" s="17" t="inlineStr">
        <is>
          <t>1. Input 400-char string into Username field
2. Input 400-char string into Password field
3. Click Submit</t>
        </is>
      </c>
      <c r="F101" s="17" t="inlineStr">
        <is>
          <t>Username_Length=400, Password_Length=400</t>
        </is>
      </c>
      <c r="G101" s="17" t="inlineStr">
        <is>
          <t>System handles 400-char input gracefully without layout breakage, SQL truncation error, or 500 Server Error.</t>
        </is>
      </c>
      <c r="H101" s="16" t="inlineStr">
        <is>
          <t>Automated (Selenium)</t>
        </is>
      </c>
      <c r="I101" s="16" t="inlineStr">
        <is>
          <t>P3</t>
        </is>
      </c>
      <c r="J101" s="16" t="inlineStr">
        <is>
          <t>Low</t>
        </is>
      </c>
      <c r="K101" s="15" t="inlineStr">
        <is>
          <t>AUTOMATED</t>
        </is>
      </c>
    </row>
    <row r="102" ht="20" customHeight="1">
      <c r="A102" s="13" t="inlineStr">
        <is>
          <t>TC_LOG_101</t>
        </is>
      </c>
      <c r="B102" s="14" t="inlineStr">
        <is>
          <t>Boundary Value Analysis &amp; Limits</t>
        </is>
      </c>
      <c r="C102" s="14" t="inlineStr">
        <is>
          <t>Verify input boundaries for field length of 420 characters</t>
        </is>
      </c>
      <c r="D102" s="14" t="inlineStr">
        <is>
          <t>Login form visible</t>
        </is>
      </c>
      <c r="E102" s="14" t="inlineStr">
        <is>
          <t>1. Input 420-char string into Username field
2. Input 420-char string into Password field
3. Click Submit</t>
        </is>
      </c>
      <c r="F102" s="14" t="inlineStr">
        <is>
          <t>Username_Length=420, Password_Length=420</t>
        </is>
      </c>
      <c r="G102" s="14" t="inlineStr">
        <is>
          <t>System handles 420-char input gracefully without layout breakage, SQL truncation error, or 500 Server Error.</t>
        </is>
      </c>
      <c r="H102" s="13" t="inlineStr">
        <is>
          <t>Automated (Selenium)</t>
        </is>
      </c>
      <c r="I102" s="13" t="inlineStr">
        <is>
          <t>P3</t>
        </is>
      </c>
      <c r="J102" s="13" t="inlineStr">
        <is>
          <t>Low</t>
        </is>
      </c>
      <c r="K102" s="15" t="inlineStr">
        <is>
          <t>AUTOMATED</t>
        </is>
      </c>
    </row>
    <row r="103" ht="20" customHeight="1">
      <c r="A103" s="16" t="inlineStr">
        <is>
          <t>TC_LOG_102</t>
        </is>
      </c>
      <c r="B103" s="17" t="inlineStr">
        <is>
          <t>Boundary Value Analysis &amp; Limits</t>
        </is>
      </c>
      <c r="C103" s="17" t="inlineStr">
        <is>
          <t>Verify input boundaries for field length of 440 characters</t>
        </is>
      </c>
      <c r="D103" s="17" t="inlineStr">
        <is>
          <t>Login form visible</t>
        </is>
      </c>
      <c r="E103" s="17" t="inlineStr">
        <is>
          <t>1. Input 440-char string into Username field
2. Input 440-char string into Password field
3. Click Submit</t>
        </is>
      </c>
      <c r="F103" s="17" t="inlineStr">
        <is>
          <t>Username_Length=440, Password_Length=440</t>
        </is>
      </c>
      <c r="G103" s="17" t="inlineStr">
        <is>
          <t>System handles 440-char input gracefully without layout breakage, SQL truncation error, or 500 Server Error.</t>
        </is>
      </c>
      <c r="H103" s="16" t="inlineStr">
        <is>
          <t>Automated (Selenium)</t>
        </is>
      </c>
      <c r="I103" s="16" t="inlineStr">
        <is>
          <t>P3</t>
        </is>
      </c>
      <c r="J103" s="16" t="inlineStr">
        <is>
          <t>Low</t>
        </is>
      </c>
      <c r="K103" s="15" t="inlineStr">
        <is>
          <t>AUTOMATED</t>
        </is>
      </c>
    </row>
    <row r="104" ht="20" customHeight="1">
      <c r="A104" s="13" t="inlineStr">
        <is>
          <t>TC_LOG_103</t>
        </is>
      </c>
      <c r="B104" s="14" t="inlineStr">
        <is>
          <t>Boundary Value Analysis &amp; Limits</t>
        </is>
      </c>
      <c r="C104" s="14" t="inlineStr">
        <is>
          <t>Verify input boundaries for field length of 460 characters</t>
        </is>
      </c>
      <c r="D104" s="14" t="inlineStr">
        <is>
          <t>Login form visible</t>
        </is>
      </c>
      <c r="E104" s="14" t="inlineStr">
        <is>
          <t>1. Input 460-char string into Username field
2. Input 460-char string into Password field
3. Click Submit</t>
        </is>
      </c>
      <c r="F104" s="14" t="inlineStr">
        <is>
          <t>Username_Length=460, Password_Length=460</t>
        </is>
      </c>
      <c r="G104" s="14" t="inlineStr">
        <is>
          <t>System handles 460-char input gracefully without layout breakage, SQL truncation error, or 500 Server Error.</t>
        </is>
      </c>
      <c r="H104" s="13" t="inlineStr">
        <is>
          <t>Automated (Selenium)</t>
        </is>
      </c>
      <c r="I104" s="13" t="inlineStr">
        <is>
          <t>P3</t>
        </is>
      </c>
      <c r="J104" s="13" t="inlineStr">
        <is>
          <t>Low</t>
        </is>
      </c>
      <c r="K104" s="15" t="inlineStr">
        <is>
          <t>AUTOMATED</t>
        </is>
      </c>
    </row>
    <row r="105" ht="20" customHeight="1">
      <c r="A105" s="16" t="inlineStr">
        <is>
          <t>TC_LOG_104</t>
        </is>
      </c>
      <c r="B105" s="17" t="inlineStr">
        <is>
          <t>Boundary Value Analysis &amp; Limits</t>
        </is>
      </c>
      <c r="C105" s="17" t="inlineStr">
        <is>
          <t>Verify input boundaries for field length of 480 characters</t>
        </is>
      </c>
      <c r="D105" s="17" t="inlineStr">
        <is>
          <t>Login form visible</t>
        </is>
      </c>
      <c r="E105" s="17" t="inlineStr">
        <is>
          <t>1. Input 480-char string into Username field
2. Input 480-char string into Password field
3. Click Submit</t>
        </is>
      </c>
      <c r="F105" s="17" t="inlineStr">
        <is>
          <t>Username_Length=480, Password_Length=480</t>
        </is>
      </c>
      <c r="G105" s="17" t="inlineStr">
        <is>
          <t>System handles 480-char input gracefully without layout breakage, SQL truncation error, or 500 Server Error.</t>
        </is>
      </c>
      <c r="H105" s="16" t="inlineStr">
        <is>
          <t>Automated (Selenium)</t>
        </is>
      </c>
      <c r="I105" s="16" t="inlineStr">
        <is>
          <t>P3</t>
        </is>
      </c>
      <c r="J105" s="16" t="inlineStr">
        <is>
          <t>Low</t>
        </is>
      </c>
      <c r="K105" s="15" t="inlineStr">
        <is>
          <t>AUTOMATED</t>
        </is>
      </c>
    </row>
    <row r="106" ht="20" customHeight="1">
      <c r="A106" s="13" t="inlineStr">
        <is>
          <t>TC_LOG_105</t>
        </is>
      </c>
      <c r="B106" s="14" t="inlineStr">
        <is>
          <t>Boundary Value Analysis &amp; Limits</t>
        </is>
      </c>
      <c r="C106" s="14" t="inlineStr">
        <is>
          <t>Verify input boundaries for field length of 500 characters</t>
        </is>
      </c>
      <c r="D106" s="14" t="inlineStr">
        <is>
          <t>Login form visible</t>
        </is>
      </c>
      <c r="E106" s="14" t="inlineStr">
        <is>
          <t>1. Input 500-char string into Username field
2. Input 500-char string into Password field
3. Click Submit</t>
        </is>
      </c>
      <c r="F106" s="14" t="inlineStr">
        <is>
          <t>Username_Length=500, Password_Length=500</t>
        </is>
      </c>
      <c r="G106" s="14" t="inlineStr">
        <is>
          <t>System handles 500-char input gracefully without layout breakage, SQL truncation error, or 500 Server Error.</t>
        </is>
      </c>
      <c r="H106" s="13" t="inlineStr">
        <is>
          <t>Automated (Selenium)</t>
        </is>
      </c>
      <c r="I106" s="13" t="inlineStr">
        <is>
          <t>P3</t>
        </is>
      </c>
      <c r="J106" s="13" t="inlineStr">
        <is>
          <t>Low</t>
        </is>
      </c>
      <c r="K106" s="15" t="inlineStr">
        <is>
          <t>AUTOMATED</t>
        </is>
      </c>
    </row>
    <row r="107" ht="20" customHeight="1">
      <c r="A107" s="16" t="inlineStr">
        <is>
          <t>TC_LOG_106</t>
        </is>
      </c>
      <c r="B107" s="17" t="inlineStr">
        <is>
          <t>Security &amp; Injection Vulnerabilities</t>
        </is>
      </c>
      <c r="C107" s="17" t="inlineStr">
        <is>
          <t>Verify immunity against SQL Injection: `' OR '1'='1`</t>
        </is>
      </c>
      <c r="D107" s="17" t="inlineStr">
        <is>
          <t>Security testing environment, web app server online</t>
        </is>
      </c>
      <c r="E107" s="17" t="inlineStr">
        <is>
          <t>1. Navigate to login form
2. Inject payload '' OR '1'='1' into Username/Password field
3. Click Submit
4. Inspect DOM &amp; response header</t>
        </is>
      </c>
      <c r="F107" s="17" t="inlineStr">
        <is>
          <t>Payload=' OR '1'='1</t>
        </is>
      </c>
      <c r="G107" s="17" t="inlineStr">
        <is>
          <t>System neutralizes/escapes payload, rejects login, prevents script execution, and logs security attempt without DB error.</t>
        </is>
      </c>
      <c r="H107" s="16" t="inlineStr">
        <is>
          <t>Automated (Selenium)</t>
        </is>
      </c>
      <c r="I107" s="16" t="inlineStr">
        <is>
          <t>P1</t>
        </is>
      </c>
      <c r="J107" s="16" t="inlineStr">
        <is>
          <t>Critical</t>
        </is>
      </c>
      <c r="K107" s="15" t="inlineStr">
        <is>
          <t>AUTOMATED</t>
        </is>
      </c>
    </row>
    <row r="108" ht="20" customHeight="1">
      <c r="A108" s="13" t="inlineStr">
        <is>
          <t>TC_LOG_107</t>
        </is>
      </c>
      <c r="B108" s="14" t="inlineStr">
        <is>
          <t>Security &amp; Injection Vulnerabilities</t>
        </is>
      </c>
      <c r="C108" s="14" t="inlineStr">
        <is>
          <t>Verify immunity against SQL Injection: `' OR '1'='1' --`</t>
        </is>
      </c>
      <c r="D108" s="14" t="inlineStr">
        <is>
          <t>Security testing environment, web app server online</t>
        </is>
      </c>
      <c r="E108" s="14" t="inlineStr">
        <is>
          <t>1. Navigate to login form
2. Inject payload '' OR '1'='1' --' into Username/Password field
3. Click Submit
4. Inspect DOM &amp; response header</t>
        </is>
      </c>
      <c r="F108" s="14" t="inlineStr">
        <is>
          <t>Payload=' OR '1'='1' --</t>
        </is>
      </c>
      <c r="G108" s="14" t="inlineStr">
        <is>
          <t>System neutralizes/escapes payload, rejects login, prevents script execution, and logs security attempt without DB error.</t>
        </is>
      </c>
      <c r="H108" s="13" t="inlineStr">
        <is>
          <t>Automated (Selenium)</t>
        </is>
      </c>
      <c r="I108" s="13" t="inlineStr">
        <is>
          <t>P1</t>
        </is>
      </c>
      <c r="J108" s="13" t="inlineStr">
        <is>
          <t>Critical</t>
        </is>
      </c>
      <c r="K108" s="15" t="inlineStr">
        <is>
          <t>PASSED</t>
        </is>
      </c>
    </row>
    <row r="109" ht="20" customHeight="1">
      <c r="A109" s="16" t="inlineStr">
        <is>
          <t>TC_LOG_108</t>
        </is>
      </c>
      <c r="B109" s="17" t="inlineStr">
        <is>
          <t>Security &amp; Injection Vulnerabilities</t>
        </is>
      </c>
      <c r="C109" s="17" t="inlineStr">
        <is>
          <t>Verify immunity against SQL Injection: `' OR '1'='1' /*`</t>
        </is>
      </c>
      <c r="D109" s="17" t="inlineStr">
        <is>
          <t>Security testing environment, web app server online</t>
        </is>
      </c>
      <c r="E109" s="17" t="inlineStr">
        <is>
          <t>1. Navigate to login form
2. Inject payload '' OR '1'='1' /*' into Username/Password field
3. Click Submit
4. Inspect DOM &amp; response header</t>
        </is>
      </c>
      <c r="F109" s="17" t="inlineStr">
        <is>
          <t>Payload=' OR '1'='1' /*</t>
        </is>
      </c>
      <c r="G109" s="17" t="inlineStr">
        <is>
          <t>System neutralizes/escapes payload, rejects login, prevents script execution, and logs security attempt without DB error.</t>
        </is>
      </c>
      <c r="H109" s="16" t="inlineStr">
        <is>
          <t>Automated (Selenium)</t>
        </is>
      </c>
      <c r="I109" s="16" t="inlineStr">
        <is>
          <t>P1</t>
        </is>
      </c>
      <c r="J109" s="16" t="inlineStr">
        <is>
          <t>Critical</t>
        </is>
      </c>
      <c r="K109" s="15" t="inlineStr">
        <is>
          <t>AUTOMATED</t>
        </is>
      </c>
    </row>
    <row r="110" ht="20" customHeight="1">
      <c r="A110" s="13" t="inlineStr">
        <is>
          <t>TC_LOG_109</t>
        </is>
      </c>
      <c r="B110" s="14" t="inlineStr">
        <is>
          <t>Security &amp; Injection Vulnerabilities</t>
        </is>
      </c>
      <c r="C110" s="14" t="inlineStr">
        <is>
          <t>Verify immunity against SQL Injection: `admin'--`</t>
        </is>
      </c>
      <c r="D110" s="14" t="inlineStr">
        <is>
          <t>Security testing environment, web app server online</t>
        </is>
      </c>
      <c r="E110" s="14" t="inlineStr">
        <is>
          <t>1. Navigate to login form
2. Inject payload 'admin'--' into Username/Password field
3. Click Submit
4. Inspect DOM &amp; response header</t>
        </is>
      </c>
      <c r="F110" s="14" t="inlineStr">
        <is>
          <t>Payload=admin'--</t>
        </is>
      </c>
      <c r="G110" s="14" t="inlineStr">
        <is>
          <t>System neutralizes/escapes payload, rejects login, prevents script execution, and logs security attempt without DB error.</t>
        </is>
      </c>
      <c r="H110" s="13" t="inlineStr">
        <is>
          <t>Automated (Selenium)</t>
        </is>
      </c>
      <c r="I110" s="13" t="inlineStr">
        <is>
          <t>P1</t>
        </is>
      </c>
      <c r="J110" s="13" t="inlineStr">
        <is>
          <t>Critical</t>
        </is>
      </c>
      <c r="K110" s="15" t="inlineStr">
        <is>
          <t>PASSED</t>
        </is>
      </c>
    </row>
    <row r="111" ht="20" customHeight="1">
      <c r="A111" s="16" t="inlineStr">
        <is>
          <t>TC_LOG_110</t>
        </is>
      </c>
      <c r="B111" s="17" t="inlineStr">
        <is>
          <t>Security &amp; Injection Vulnerabilities</t>
        </is>
      </c>
      <c r="C111" s="17" t="inlineStr">
        <is>
          <t>Verify immunity against SQL Injection: `admin' #`</t>
        </is>
      </c>
      <c r="D111" s="17" t="inlineStr">
        <is>
          <t>Security testing environment, web app server online</t>
        </is>
      </c>
      <c r="E111" s="17" t="inlineStr">
        <is>
          <t>1. Navigate to login form
2. Inject payload 'admin' #' into Username/Password field
3. Click Submit
4. Inspect DOM &amp; response header</t>
        </is>
      </c>
      <c r="F111" s="17" t="inlineStr">
        <is>
          <t>Payload=admin' #</t>
        </is>
      </c>
      <c r="G111" s="17" t="inlineStr">
        <is>
          <t>System neutralizes/escapes payload, rejects login, prevents script execution, and logs security attempt without DB error.</t>
        </is>
      </c>
      <c r="H111" s="16" t="inlineStr">
        <is>
          <t>Automated (Selenium)</t>
        </is>
      </c>
      <c r="I111" s="16" t="inlineStr">
        <is>
          <t>P1</t>
        </is>
      </c>
      <c r="J111" s="16" t="inlineStr">
        <is>
          <t>Critical</t>
        </is>
      </c>
      <c r="K111" s="15" t="inlineStr">
        <is>
          <t>AUTOMATED</t>
        </is>
      </c>
    </row>
    <row r="112" ht="20" customHeight="1">
      <c r="A112" s="13" t="inlineStr">
        <is>
          <t>TC_LOG_111</t>
        </is>
      </c>
      <c r="B112" s="14" t="inlineStr">
        <is>
          <t>Security &amp; Injection Vulnerabilities</t>
        </is>
      </c>
      <c r="C112" s="14" t="inlineStr">
        <is>
          <t>Verify immunity against SQL Injection: `' UNION SELECT NULL, NULL--`</t>
        </is>
      </c>
      <c r="D112" s="14" t="inlineStr">
        <is>
          <t>Security testing environment, web app server online</t>
        </is>
      </c>
      <c r="E112" s="14" t="inlineStr">
        <is>
          <t>1. Navigate to login form
2. Inject payload '' UNION SELECT NULL, NULL--' into Username/Password field
3. Click Submit
4. Inspect DOM &amp; response header</t>
        </is>
      </c>
      <c r="F112" s="14" t="inlineStr">
        <is>
          <t>Payload=' UNION SELECT NULL, NULL--</t>
        </is>
      </c>
      <c r="G112" s="14" t="inlineStr">
        <is>
          <t>System neutralizes/escapes payload, rejects login, prevents script execution, and logs security attempt without DB error.</t>
        </is>
      </c>
      <c r="H112" s="13" t="inlineStr">
        <is>
          <t>Automated (Selenium)</t>
        </is>
      </c>
      <c r="I112" s="13" t="inlineStr">
        <is>
          <t>P1</t>
        </is>
      </c>
      <c r="J112" s="13" t="inlineStr">
        <is>
          <t>Critical</t>
        </is>
      </c>
      <c r="K112" s="15" t="inlineStr">
        <is>
          <t>PASSED</t>
        </is>
      </c>
    </row>
    <row r="113" ht="20" customHeight="1">
      <c r="A113" s="16" t="inlineStr">
        <is>
          <t>TC_LOG_112</t>
        </is>
      </c>
      <c r="B113" s="17" t="inlineStr">
        <is>
          <t>Security &amp; Injection Vulnerabilities</t>
        </is>
      </c>
      <c r="C113" s="17" t="inlineStr">
        <is>
          <t>Verify immunity against SQL Injection: `1' ORDER BY 1--`</t>
        </is>
      </c>
      <c r="D113" s="17" t="inlineStr">
        <is>
          <t>Security testing environment, web app server online</t>
        </is>
      </c>
      <c r="E113" s="17" t="inlineStr">
        <is>
          <t>1. Navigate to login form
2. Inject payload '1' ORDER BY 1--' into Username/Password field
3. Click Submit
4. Inspect DOM &amp; response header</t>
        </is>
      </c>
      <c r="F113" s="17" t="inlineStr">
        <is>
          <t>Payload=1' ORDER BY 1--</t>
        </is>
      </c>
      <c r="G113" s="17" t="inlineStr">
        <is>
          <t>System neutralizes/escapes payload, rejects login, prevents script execution, and logs security attempt without DB error.</t>
        </is>
      </c>
      <c r="H113" s="16" t="inlineStr">
        <is>
          <t>Automated (Selenium)</t>
        </is>
      </c>
      <c r="I113" s="16" t="inlineStr">
        <is>
          <t>P1</t>
        </is>
      </c>
      <c r="J113" s="16" t="inlineStr">
        <is>
          <t>Critical</t>
        </is>
      </c>
      <c r="K113" s="15" t="inlineStr">
        <is>
          <t>AUTOMATED</t>
        </is>
      </c>
    </row>
    <row r="114" ht="20" customHeight="1">
      <c r="A114" s="13" t="inlineStr">
        <is>
          <t>TC_LOG_113</t>
        </is>
      </c>
      <c r="B114" s="14" t="inlineStr">
        <is>
          <t>Security &amp; Injection Vulnerabilities</t>
        </is>
      </c>
      <c r="C114" s="14" t="inlineStr">
        <is>
          <t>Verify immunity against SQL Injection: `1' ORDER BY 10--`</t>
        </is>
      </c>
      <c r="D114" s="14" t="inlineStr">
        <is>
          <t>Security testing environment, web app server online</t>
        </is>
      </c>
      <c r="E114" s="14" t="inlineStr">
        <is>
          <t>1. Navigate to login form
2. Inject payload '1' ORDER BY 10--' into Username/Password field
3. Click Submit
4. Inspect DOM &amp; response header</t>
        </is>
      </c>
      <c r="F114" s="14" t="inlineStr">
        <is>
          <t>Payload=1' ORDER BY 10--</t>
        </is>
      </c>
      <c r="G114" s="14" t="inlineStr">
        <is>
          <t>System neutralizes/escapes payload, rejects login, prevents script execution, and logs security attempt without DB error.</t>
        </is>
      </c>
      <c r="H114" s="13" t="inlineStr">
        <is>
          <t>Automated (Selenium)</t>
        </is>
      </c>
      <c r="I114" s="13" t="inlineStr">
        <is>
          <t>P1</t>
        </is>
      </c>
      <c r="J114" s="13" t="inlineStr">
        <is>
          <t>Critical</t>
        </is>
      </c>
      <c r="K114" s="15" t="inlineStr">
        <is>
          <t>PASSED</t>
        </is>
      </c>
    </row>
    <row r="115" ht="20" customHeight="1">
      <c r="A115" s="16" t="inlineStr">
        <is>
          <t>TC_LOG_114</t>
        </is>
      </c>
      <c r="B115" s="17" t="inlineStr">
        <is>
          <t>Security &amp; Injection Vulnerabilities</t>
        </is>
      </c>
      <c r="C115" s="17" t="inlineStr">
        <is>
          <t>Verify immunity against SQL Injection: `'; DROP TABLE operator;--`</t>
        </is>
      </c>
      <c r="D115" s="17" t="inlineStr">
        <is>
          <t>Security testing environment, web app server online</t>
        </is>
      </c>
      <c r="E115" s="17" t="inlineStr">
        <is>
          <t>1. Navigate to login form
2. Inject payload ''; DROP TABLE operator;--' into Username/Password field
3. Click Submit
4. Inspect DOM &amp; response header</t>
        </is>
      </c>
      <c r="F115" s="17" t="inlineStr">
        <is>
          <t>Payload='; DROP TABLE operator;--</t>
        </is>
      </c>
      <c r="G115" s="17" t="inlineStr">
        <is>
          <t>System neutralizes/escapes payload, rejects login, prevents script execution, and logs security attempt without DB error.</t>
        </is>
      </c>
      <c r="H115" s="16" t="inlineStr">
        <is>
          <t>Automated (Selenium)</t>
        </is>
      </c>
      <c r="I115" s="16" t="inlineStr">
        <is>
          <t>P1</t>
        </is>
      </c>
      <c r="J115" s="16" t="inlineStr">
        <is>
          <t>Critical</t>
        </is>
      </c>
      <c r="K115" s="15" t="inlineStr">
        <is>
          <t>AUTOMATED</t>
        </is>
      </c>
    </row>
    <row r="116" ht="20" customHeight="1">
      <c r="A116" s="13" t="inlineStr">
        <is>
          <t>TC_LOG_115</t>
        </is>
      </c>
      <c r="B116" s="14" t="inlineStr">
        <is>
          <t>Security &amp; Injection Vulnerabilities</t>
        </is>
      </c>
      <c r="C116" s="14" t="inlineStr">
        <is>
          <t>Verify immunity against SQL Injection: `' OR EXISTS(SELECT * FROM operator)--`</t>
        </is>
      </c>
      <c r="D116" s="14" t="inlineStr">
        <is>
          <t>Security testing environment, web app server online</t>
        </is>
      </c>
      <c r="E116" s="14" t="inlineStr">
        <is>
          <t>1. Navigate to login form
2. Inject payload '' OR EXISTS(SELECT * FROM operator)--' into Username/Password field
3. Click Submit
4. Inspect DOM &amp; response header</t>
        </is>
      </c>
      <c r="F116" s="14" t="inlineStr">
        <is>
          <t>Payload=' OR EXISTS(SELECT * FROM operator)--</t>
        </is>
      </c>
      <c r="G116" s="14" t="inlineStr">
        <is>
          <t>System neutralizes/escapes payload, rejects login, prevents script execution, and logs security attempt without DB error.</t>
        </is>
      </c>
      <c r="H116" s="13" t="inlineStr">
        <is>
          <t>Automated (Selenium)</t>
        </is>
      </c>
      <c r="I116" s="13" t="inlineStr">
        <is>
          <t>P1</t>
        </is>
      </c>
      <c r="J116" s="13" t="inlineStr">
        <is>
          <t>Critical</t>
        </is>
      </c>
      <c r="K116" s="15" t="inlineStr">
        <is>
          <t>PASSED</t>
        </is>
      </c>
    </row>
    <row r="117" ht="20" customHeight="1">
      <c r="A117" s="16" t="inlineStr">
        <is>
          <t>TC_LOG_116</t>
        </is>
      </c>
      <c r="B117" s="17" t="inlineStr">
        <is>
          <t>Security &amp; Injection Vulnerabilities</t>
        </is>
      </c>
      <c r="C117" s="17" t="inlineStr">
        <is>
          <t>Verify immunity against XSS Payload: `&lt;script&gt;alert('XSS')&lt;/script&gt;`</t>
        </is>
      </c>
      <c r="D117" s="17" t="inlineStr">
        <is>
          <t>Security testing environment, web app server online</t>
        </is>
      </c>
      <c r="E117" s="17" t="inlineStr">
        <is>
          <t>1. Navigate to login form
2. Inject payload '&lt;script&gt;alert('XSS')&lt;/script&gt;' into Username/Password field
3. Click Submit
4. Inspect DOM &amp; response header</t>
        </is>
      </c>
      <c r="F117" s="17" t="inlineStr">
        <is>
          <t>Payload=&lt;script&gt;alert('XSS')&lt;/script&gt;</t>
        </is>
      </c>
      <c r="G117" s="17" t="inlineStr">
        <is>
          <t>System neutralizes/escapes payload, rejects login, prevents script execution, and logs security attempt without DB error.</t>
        </is>
      </c>
      <c r="H117" s="16" t="inlineStr">
        <is>
          <t>Automated (Selenium)</t>
        </is>
      </c>
      <c r="I117" s="16" t="inlineStr">
        <is>
          <t>P1</t>
        </is>
      </c>
      <c r="J117" s="16" t="inlineStr">
        <is>
          <t>Critical</t>
        </is>
      </c>
      <c r="K117" s="15" t="inlineStr">
        <is>
          <t>AUTOMATED</t>
        </is>
      </c>
    </row>
    <row r="118" ht="20" customHeight="1">
      <c r="A118" s="13" t="inlineStr">
        <is>
          <t>TC_LOG_117</t>
        </is>
      </c>
      <c r="B118" s="14" t="inlineStr">
        <is>
          <t>Security &amp; Injection Vulnerabilities</t>
        </is>
      </c>
      <c r="C118" s="14" t="inlineStr">
        <is>
          <t>Verify immunity against XSS Payload: `&lt;img src=x onerror=alert(1)&gt;`</t>
        </is>
      </c>
      <c r="D118" s="14" t="inlineStr">
        <is>
          <t>Security testing environment, web app server online</t>
        </is>
      </c>
      <c r="E118" s="14" t="inlineStr">
        <is>
          <t>1. Navigate to login form
2. Inject payload '&lt;img src=x onerror=alert(1)&gt;' into Username/Password field
3. Click Submit
4. Inspect DOM &amp; response header</t>
        </is>
      </c>
      <c r="F118" s="14" t="inlineStr">
        <is>
          <t>Payload=&lt;img src=x onerror=alert(1)&gt;</t>
        </is>
      </c>
      <c r="G118" s="14" t="inlineStr">
        <is>
          <t>System neutralizes/escapes payload, rejects login, prevents script execution, and logs security attempt without DB error.</t>
        </is>
      </c>
      <c r="H118" s="13" t="inlineStr">
        <is>
          <t>Automated (Selenium)</t>
        </is>
      </c>
      <c r="I118" s="13" t="inlineStr">
        <is>
          <t>P1</t>
        </is>
      </c>
      <c r="J118" s="13" t="inlineStr">
        <is>
          <t>Critical</t>
        </is>
      </c>
      <c r="K118" s="15" t="inlineStr">
        <is>
          <t>PASSED</t>
        </is>
      </c>
    </row>
    <row r="119" ht="20" customHeight="1">
      <c r="A119" s="16" t="inlineStr">
        <is>
          <t>TC_LOG_118</t>
        </is>
      </c>
      <c r="B119" s="17" t="inlineStr">
        <is>
          <t>Security &amp; Injection Vulnerabilities</t>
        </is>
      </c>
      <c r="C119" s="17" t="inlineStr">
        <is>
          <t>Verify immunity against XSS Payload: `&lt;svg/onload=alert('XSS')&gt;`</t>
        </is>
      </c>
      <c r="D119" s="17" t="inlineStr">
        <is>
          <t>Security testing environment, web app server online</t>
        </is>
      </c>
      <c r="E119" s="17" t="inlineStr">
        <is>
          <t>1. Navigate to login form
2. Inject payload '&lt;svg/onload=alert('XSS')&gt;' into Username/Password field
3. Click Submit
4. Inspect DOM &amp; response header</t>
        </is>
      </c>
      <c r="F119" s="17" t="inlineStr">
        <is>
          <t>Payload=&lt;svg/onload=alert('XSS')&gt;</t>
        </is>
      </c>
      <c r="G119" s="17" t="inlineStr">
        <is>
          <t>System neutralizes/escapes payload, rejects login, prevents script execution, and logs security attempt without DB error.</t>
        </is>
      </c>
      <c r="H119" s="16" t="inlineStr">
        <is>
          <t>Automated (Selenium)</t>
        </is>
      </c>
      <c r="I119" s="16" t="inlineStr">
        <is>
          <t>P1</t>
        </is>
      </c>
      <c r="J119" s="16" t="inlineStr">
        <is>
          <t>Critical</t>
        </is>
      </c>
      <c r="K119" s="15" t="inlineStr">
        <is>
          <t>AUTOMATED</t>
        </is>
      </c>
    </row>
    <row r="120" ht="20" customHeight="1">
      <c r="A120" s="13" t="inlineStr">
        <is>
          <t>TC_LOG_119</t>
        </is>
      </c>
      <c r="B120" s="14" t="inlineStr">
        <is>
          <t>Security &amp; Injection Vulnerabilities</t>
        </is>
      </c>
      <c r="C120" s="14" t="inlineStr">
        <is>
          <t>Verify immunity against XSS Payload: `javascript:alert(1)`</t>
        </is>
      </c>
      <c r="D120" s="14" t="inlineStr">
        <is>
          <t>Security testing environment, web app server online</t>
        </is>
      </c>
      <c r="E120" s="14" t="inlineStr">
        <is>
          <t>1. Navigate to login form
2. Inject payload 'javascript:alert(1)' into Username/Password field
3. Click Submit
4. Inspect DOM &amp; response header</t>
        </is>
      </c>
      <c r="F120" s="14" t="inlineStr">
        <is>
          <t>Payload=javascript:alert(1)</t>
        </is>
      </c>
      <c r="G120" s="14" t="inlineStr">
        <is>
          <t>System neutralizes/escapes payload, rejects login, prevents script execution, and logs security attempt without DB error.</t>
        </is>
      </c>
      <c r="H120" s="13" t="inlineStr">
        <is>
          <t>Automated (Selenium)</t>
        </is>
      </c>
      <c r="I120" s="13" t="inlineStr">
        <is>
          <t>P1</t>
        </is>
      </c>
      <c r="J120" s="13" t="inlineStr">
        <is>
          <t>Critical</t>
        </is>
      </c>
      <c r="K120" s="15" t="inlineStr">
        <is>
          <t>PASSED</t>
        </is>
      </c>
    </row>
    <row r="121" ht="20" customHeight="1">
      <c r="A121" s="16" t="inlineStr">
        <is>
          <t>TC_LOG_120</t>
        </is>
      </c>
      <c r="B121" s="17" t="inlineStr">
        <is>
          <t>Security &amp; Injection Vulnerabilities</t>
        </is>
      </c>
      <c r="C121" s="17" t="inlineStr">
        <is>
          <t>Verify immunity against XSS Payload: `" onfocus="alert(1)"`</t>
        </is>
      </c>
      <c r="D121" s="17" t="inlineStr">
        <is>
          <t>Security testing environment, web app server online</t>
        </is>
      </c>
      <c r="E121" s="17" t="inlineStr">
        <is>
          <t>1. Navigate to login form
2. Inject payload '" onfocus="alert(1)"' into Username/Password field
3. Click Submit
4. Inspect DOM &amp; response header</t>
        </is>
      </c>
      <c r="F121" s="17" t="inlineStr">
        <is>
          <t>Payload=" onfocus="alert(1)"</t>
        </is>
      </c>
      <c r="G121" s="17" t="inlineStr">
        <is>
          <t>System neutralizes/escapes payload, rejects login, prevents script execution, and logs security attempt without DB error.</t>
        </is>
      </c>
      <c r="H121" s="16" t="inlineStr">
        <is>
          <t>Automated (Selenium)</t>
        </is>
      </c>
      <c r="I121" s="16" t="inlineStr">
        <is>
          <t>P1</t>
        </is>
      </c>
      <c r="J121" s="16" t="inlineStr">
        <is>
          <t>Critical</t>
        </is>
      </c>
      <c r="K121" s="15" t="inlineStr">
        <is>
          <t>AUTOMATED</t>
        </is>
      </c>
    </row>
    <row r="122" ht="20" customHeight="1">
      <c r="A122" s="13" t="inlineStr">
        <is>
          <t>TC_LOG_121</t>
        </is>
      </c>
      <c r="B122" s="14" t="inlineStr">
        <is>
          <t>Security &amp; Injection Vulnerabilities</t>
        </is>
      </c>
      <c r="C122" s="14" t="inlineStr">
        <is>
          <t>Verify immunity against XSS Payload: `&lt;iframe src="javascript:alert(1)"&gt;`</t>
        </is>
      </c>
      <c r="D122" s="14" t="inlineStr">
        <is>
          <t>Security testing environment, web app server online</t>
        </is>
      </c>
      <c r="E122" s="14" t="inlineStr">
        <is>
          <t>1. Navigate to login form
2. Inject payload '&lt;iframe src="javascript:alert(1)"&gt;' into Username/Password field
3. Click Submit
4. Inspect DOM &amp; response header</t>
        </is>
      </c>
      <c r="F122" s="14" t="inlineStr">
        <is>
          <t>Payload=&lt;iframe src="javascript:alert(1)"&gt;</t>
        </is>
      </c>
      <c r="G122" s="14" t="inlineStr">
        <is>
          <t>System neutralizes/escapes payload, rejects login, prevents script execution, and logs security attempt without DB error.</t>
        </is>
      </c>
      <c r="H122" s="13" t="inlineStr">
        <is>
          <t>Automated (Selenium)</t>
        </is>
      </c>
      <c r="I122" s="13" t="inlineStr">
        <is>
          <t>P1</t>
        </is>
      </c>
      <c r="J122" s="13" t="inlineStr">
        <is>
          <t>Critical</t>
        </is>
      </c>
      <c r="K122" s="15" t="inlineStr">
        <is>
          <t>PASSED</t>
        </is>
      </c>
    </row>
    <row r="123" ht="20" customHeight="1">
      <c r="A123" s="16" t="inlineStr">
        <is>
          <t>TC_LOG_122</t>
        </is>
      </c>
      <c r="B123" s="17" t="inlineStr">
        <is>
          <t>Security &amp; Injection Vulnerabilities</t>
        </is>
      </c>
      <c r="C123" s="17" t="inlineStr">
        <is>
          <t>Verify immunity against XSS Payload: `{{7*7}}`</t>
        </is>
      </c>
      <c r="D123" s="17" t="inlineStr">
        <is>
          <t>Security testing environment, web app server online</t>
        </is>
      </c>
      <c r="E123" s="17" t="inlineStr">
        <is>
          <t>1. Navigate to login form
2. Inject payload '{{7*7}}' into Username/Password field
3. Click Submit
4. Inspect DOM &amp; response header</t>
        </is>
      </c>
      <c r="F123" s="17" t="inlineStr">
        <is>
          <t>Payload={{7*7}}</t>
        </is>
      </c>
      <c r="G123" s="17" t="inlineStr">
        <is>
          <t>System neutralizes/escapes payload, rejects login, prevents script execution, and logs security attempt without DB error.</t>
        </is>
      </c>
      <c r="H123" s="16" t="inlineStr">
        <is>
          <t>Automated (Selenium)</t>
        </is>
      </c>
      <c r="I123" s="16" t="inlineStr">
        <is>
          <t>P1</t>
        </is>
      </c>
      <c r="J123" s="16" t="inlineStr">
        <is>
          <t>Critical</t>
        </is>
      </c>
      <c r="K123" s="15" t="inlineStr">
        <is>
          <t>AUTOMATED</t>
        </is>
      </c>
    </row>
    <row r="124" ht="20" customHeight="1">
      <c r="A124" s="13" t="inlineStr">
        <is>
          <t>TC_LOG_123</t>
        </is>
      </c>
      <c r="B124" s="14" t="inlineStr">
        <is>
          <t>Security &amp; Injection Vulnerabilities</t>
        </is>
      </c>
      <c r="C124" s="14" t="inlineStr">
        <is>
          <t>Verify immunity against XSS Payload: `${7*7}`</t>
        </is>
      </c>
      <c r="D124" s="14" t="inlineStr">
        <is>
          <t>Security testing environment, web app server online</t>
        </is>
      </c>
      <c r="E124" s="14" t="inlineStr">
        <is>
          <t>1. Navigate to login form
2. Inject payload '${7*7}' into Username/Password field
3. Click Submit
4. Inspect DOM &amp; response header</t>
        </is>
      </c>
      <c r="F124" s="14" t="inlineStr">
        <is>
          <t>Payload=${7*7}</t>
        </is>
      </c>
      <c r="G124" s="14" t="inlineStr">
        <is>
          <t>System neutralizes/escapes payload, rejects login, prevents script execution, and logs security attempt without DB error.</t>
        </is>
      </c>
      <c r="H124" s="13" t="inlineStr">
        <is>
          <t>Automated (Selenium)</t>
        </is>
      </c>
      <c r="I124" s="13" t="inlineStr">
        <is>
          <t>P1</t>
        </is>
      </c>
      <c r="J124" s="13" t="inlineStr">
        <is>
          <t>Critical</t>
        </is>
      </c>
      <c r="K124" s="15" t="inlineStr">
        <is>
          <t>PASSED</t>
        </is>
      </c>
    </row>
    <row r="125" ht="20" customHeight="1">
      <c r="A125" s="16" t="inlineStr">
        <is>
          <t>TC_LOG_124</t>
        </is>
      </c>
      <c r="B125" s="17" t="inlineStr">
        <is>
          <t>Security &amp; Injection Vulnerabilities</t>
        </is>
      </c>
      <c r="C125" s="17" t="inlineStr">
        <is>
          <t>Verify immunity against XSS Payload: `&lt;%= 7*7 %&gt;`</t>
        </is>
      </c>
      <c r="D125" s="17" t="inlineStr">
        <is>
          <t>Security testing environment, web app server online</t>
        </is>
      </c>
      <c r="E125" s="17" t="inlineStr">
        <is>
          <t>1. Navigate to login form
2. Inject payload '&lt;%= 7*7 %&gt;' into Username/Password field
3. Click Submit
4. Inspect DOM &amp; response header</t>
        </is>
      </c>
      <c r="F125" s="17" t="inlineStr">
        <is>
          <t>Payload=&lt;%= 7*7 %&gt;</t>
        </is>
      </c>
      <c r="G125" s="17" t="inlineStr">
        <is>
          <t>System neutralizes/escapes payload, rejects login, prevents script execution, and logs security attempt without DB error.</t>
        </is>
      </c>
      <c r="H125" s="16" t="inlineStr">
        <is>
          <t>Automated (Selenium)</t>
        </is>
      </c>
      <c r="I125" s="16" t="inlineStr">
        <is>
          <t>P1</t>
        </is>
      </c>
      <c r="J125" s="16" t="inlineStr">
        <is>
          <t>Critical</t>
        </is>
      </c>
      <c r="K125" s="15" t="inlineStr">
        <is>
          <t>AUTOMATED</t>
        </is>
      </c>
    </row>
    <row r="126" ht="20" customHeight="1">
      <c r="A126" s="13" t="inlineStr">
        <is>
          <t>TC_LOG_125</t>
        </is>
      </c>
      <c r="B126" s="14" t="inlineStr">
        <is>
          <t>Security &amp; Injection Vulnerabilities</t>
        </is>
      </c>
      <c r="C126" s="14" t="inlineStr">
        <is>
          <t>Verify immunity against XSS Payload: `&lt;body onload=alert('XSS')&gt;`</t>
        </is>
      </c>
      <c r="D126" s="14" t="inlineStr">
        <is>
          <t>Security testing environment, web app server online</t>
        </is>
      </c>
      <c r="E126" s="14" t="inlineStr">
        <is>
          <t>1. Navigate to login form
2. Inject payload '&lt;body onload=alert('XSS')&gt;' into Username/Password field
3. Click Submit
4. Inspect DOM &amp; response header</t>
        </is>
      </c>
      <c r="F126" s="14" t="inlineStr">
        <is>
          <t>Payload=&lt;body onload=alert('XSS')&gt;</t>
        </is>
      </c>
      <c r="G126" s="14" t="inlineStr">
        <is>
          <t>System neutralizes/escapes payload, rejects login, prevents script execution, and logs security attempt without DB error.</t>
        </is>
      </c>
      <c r="H126" s="13" t="inlineStr">
        <is>
          <t>Automated (Selenium)</t>
        </is>
      </c>
      <c r="I126" s="13" t="inlineStr">
        <is>
          <t>P1</t>
        </is>
      </c>
      <c r="J126" s="13" t="inlineStr">
        <is>
          <t>Critical</t>
        </is>
      </c>
      <c r="K126" s="15" t="inlineStr">
        <is>
          <t>PASSED</t>
        </is>
      </c>
    </row>
    <row r="127" ht="20" customHeight="1">
      <c r="A127" s="16" t="inlineStr">
        <is>
          <t>TC_LOG_126</t>
        </is>
      </c>
      <c r="B127" s="17" t="inlineStr">
        <is>
          <t>Security &amp; Injection Vulnerabilities</t>
        </is>
      </c>
      <c r="C127" s="17" t="inlineStr">
        <is>
          <t>Verify immunity against Security Injection / Payload: `../../../../etc/passwd`</t>
        </is>
      </c>
      <c r="D127" s="17" t="inlineStr">
        <is>
          <t>Security testing environment, web app server online</t>
        </is>
      </c>
      <c r="E127" s="17" t="inlineStr">
        <is>
          <t>1. Navigate to login form
2. Inject payload '../../../../etc/passwd' into Username/Password field
3. Click Submit
4. Inspect DOM &amp; response header</t>
        </is>
      </c>
      <c r="F127" s="17" t="inlineStr">
        <is>
          <t>Payload=../../../../etc/passwd</t>
        </is>
      </c>
      <c r="G127" s="17" t="inlineStr">
        <is>
          <t>System neutralizes/escapes payload, rejects login, prevents script execution, and logs security attempt without DB error.</t>
        </is>
      </c>
      <c r="H127" s="16" t="inlineStr">
        <is>
          <t>Automated (Selenium)</t>
        </is>
      </c>
      <c r="I127" s="16" t="inlineStr">
        <is>
          <t>P1</t>
        </is>
      </c>
      <c r="J127" s="16" t="inlineStr">
        <is>
          <t>High</t>
        </is>
      </c>
      <c r="K127" s="15" t="inlineStr">
        <is>
          <t>AUTOMATED</t>
        </is>
      </c>
    </row>
    <row r="128" ht="20" customHeight="1">
      <c r="A128" s="13" t="inlineStr">
        <is>
          <t>TC_LOG_127</t>
        </is>
      </c>
      <c r="B128" s="14" t="inlineStr">
        <is>
          <t>Security &amp; Injection Vulnerabilities</t>
        </is>
      </c>
      <c r="C128" s="14" t="inlineStr">
        <is>
          <t>Verify immunity against Security Injection / Payload: `..\..\..\windows\system32\drivers\etc\hosts`</t>
        </is>
      </c>
      <c r="D128" s="14" t="inlineStr">
        <is>
          <t>Security testing environment, web app server online</t>
        </is>
      </c>
      <c r="E128" s="14" t="inlineStr">
        <is>
          <t>1. Navigate to login form
2. Inject payload '..\..\..\windows\system32\drivers\etc\hosts' into Username/Password field
3. Click Submit
4. Inspect DOM &amp; response header</t>
        </is>
      </c>
      <c r="F128" s="14" t="inlineStr">
        <is>
          <t>Payload=..\..\..\windows\system32\drivers\etc\hosts</t>
        </is>
      </c>
      <c r="G128" s="14" t="inlineStr">
        <is>
          <t>System neutralizes/escapes payload, rejects login, prevents script execution, and logs security attempt without DB error.</t>
        </is>
      </c>
      <c r="H128" s="13" t="inlineStr">
        <is>
          <t>Automated (Selenium)</t>
        </is>
      </c>
      <c r="I128" s="13" t="inlineStr">
        <is>
          <t>P1</t>
        </is>
      </c>
      <c r="J128" s="13" t="inlineStr">
        <is>
          <t>High</t>
        </is>
      </c>
      <c r="K128" s="15" t="inlineStr">
        <is>
          <t>PASSED</t>
        </is>
      </c>
    </row>
    <row r="129" ht="20" customHeight="1">
      <c r="A129" s="16" t="inlineStr">
        <is>
          <t>TC_LOG_128</t>
        </is>
      </c>
      <c r="B129" s="17" t="inlineStr">
        <is>
          <t>Security &amp; Injection Vulnerabilities</t>
        </is>
      </c>
      <c r="C129" s="17" t="inlineStr">
        <is>
          <t>Verify immunity against Security Injection / Payload: `http://attacker.com/malicious.js`</t>
        </is>
      </c>
      <c r="D129" s="17" t="inlineStr">
        <is>
          <t>Security testing environment, web app server online</t>
        </is>
      </c>
      <c r="E129" s="17" t="inlineStr">
        <is>
          <t>1. Navigate to login form
2. Inject payload 'http://attacker.com/malicious.js' into Username/Password field
3. Click Submit
4. Inspect DOM &amp; response header</t>
        </is>
      </c>
      <c r="F129" s="17" t="inlineStr">
        <is>
          <t>Payload=http://attacker.com/malicious.js</t>
        </is>
      </c>
      <c r="G129" s="17" t="inlineStr">
        <is>
          <t>System neutralizes/escapes payload, rejects login, prevents script execution, and logs security attempt without DB error.</t>
        </is>
      </c>
      <c r="H129" s="16" t="inlineStr">
        <is>
          <t>Automated (Selenium)</t>
        </is>
      </c>
      <c r="I129" s="16" t="inlineStr">
        <is>
          <t>P1</t>
        </is>
      </c>
      <c r="J129" s="16" t="inlineStr">
        <is>
          <t>High</t>
        </is>
      </c>
      <c r="K129" s="15" t="inlineStr">
        <is>
          <t>AUTOMATED</t>
        </is>
      </c>
    </row>
    <row r="130" ht="20" customHeight="1">
      <c r="A130" s="13" t="inlineStr">
        <is>
          <t>TC_LOG_129</t>
        </is>
      </c>
      <c r="B130" s="14" t="inlineStr">
        <is>
          <t>Security &amp; Injection Vulnerabilities</t>
        </is>
      </c>
      <c r="C130" s="14" t="inlineStr">
        <is>
          <t>Verify immunity against Security Injection / Payload: `%00admin`</t>
        </is>
      </c>
      <c r="D130" s="14" t="inlineStr">
        <is>
          <t>Security testing environment, web app server online</t>
        </is>
      </c>
      <c r="E130" s="14" t="inlineStr">
        <is>
          <t>1. Navigate to login form
2. Inject payload '%00admin' into Username/Password field
3. Click Submit
4. Inspect DOM &amp; response header</t>
        </is>
      </c>
      <c r="F130" s="14" t="inlineStr">
        <is>
          <t>Payload=%00admin</t>
        </is>
      </c>
      <c r="G130" s="14" t="inlineStr">
        <is>
          <t>System neutralizes/escapes payload, rejects login, prevents script execution, and logs security attempt without DB error.</t>
        </is>
      </c>
      <c r="H130" s="13" t="inlineStr">
        <is>
          <t>Automated (Selenium)</t>
        </is>
      </c>
      <c r="I130" s="13" t="inlineStr">
        <is>
          <t>P1</t>
        </is>
      </c>
      <c r="J130" s="13" t="inlineStr">
        <is>
          <t>High</t>
        </is>
      </c>
      <c r="K130" s="15" t="inlineStr">
        <is>
          <t>PASSED</t>
        </is>
      </c>
    </row>
    <row r="131" ht="20" customHeight="1">
      <c r="A131" s="16" t="inlineStr">
        <is>
          <t>TC_LOG_130</t>
        </is>
      </c>
      <c r="B131" s="17" t="inlineStr">
        <is>
          <t>Security &amp; Injection Vulnerabilities</t>
        </is>
      </c>
      <c r="C131" s="17" t="inlineStr">
        <is>
          <t>Verify immunity against Security Injection / Payload: `admin
X-Injected-Header: injected`</t>
        </is>
      </c>
      <c r="D131" s="17" t="inlineStr">
        <is>
          <t>Security testing environment, web app server online</t>
        </is>
      </c>
      <c r="E131" s="17" t="inlineStr">
        <is>
          <t>1. Navigate to login form
2. Inject payload 'admin
X-Injected-Header: injected' into Username/Password field
3. Click Submit
4. Inspect DOM &amp; response header</t>
        </is>
      </c>
      <c r="F131" s="17" t="inlineStr">
        <is>
          <t>Payload=admin
X-Injected-Header: injected</t>
        </is>
      </c>
      <c r="G131" s="17" t="inlineStr">
        <is>
          <t>System neutralizes/escapes payload, rejects login, prevents script execution, and logs security attempt without DB error.</t>
        </is>
      </c>
      <c r="H131" s="16" t="inlineStr">
        <is>
          <t>Automated (Selenium)</t>
        </is>
      </c>
      <c r="I131" s="16" t="inlineStr">
        <is>
          <t>P1</t>
        </is>
      </c>
      <c r="J131" s="16" t="inlineStr">
        <is>
          <t>High</t>
        </is>
      </c>
      <c r="K131" s="15" t="inlineStr">
        <is>
          <t>AUTOMATED</t>
        </is>
      </c>
    </row>
    <row r="132" ht="20" customHeight="1">
      <c r="A132" s="13" t="inlineStr">
        <is>
          <t>TC_LOG_131</t>
        </is>
      </c>
      <c r="B132" s="14" t="inlineStr">
        <is>
          <t>Security &amp; Injection Vulnerabilities</t>
        </is>
      </c>
      <c r="C132" s="14" t="inlineStr">
        <is>
          <t>Verify immunity against Security Injection / Payload: `{"username": "admin", "password": "admin123"}`</t>
        </is>
      </c>
      <c r="D132" s="14" t="inlineStr">
        <is>
          <t>Security testing environment, web app server online</t>
        </is>
      </c>
      <c r="E132" s="14" t="inlineStr">
        <is>
          <t>1. Navigate to login form
2. Inject payload '{"username": "admin", "password": "admin123"}' into Username/Password field
3. Click Submit
4. Inspect DOM &amp; response header</t>
        </is>
      </c>
      <c r="F132" s="14" t="inlineStr">
        <is>
          <t>Payload={"username": "admin", "password": "admin123"}</t>
        </is>
      </c>
      <c r="G132" s="14" t="inlineStr">
        <is>
          <t>System neutralizes/escapes payload, rejects login, prevents script execution, and logs security attempt without DB error.</t>
        </is>
      </c>
      <c r="H132" s="13" t="inlineStr">
        <is>
          <t>Automated (Selenium)</t>
        </is>
      </c>
      <c r="I132" s="13" t="inlineStr">
        <is>
          <t>P1</t>
        </is>
      </c>
      <c r="J132" s="13" t="inlineStr">
        <is>
          <t>High</t>
        </is>
      </c>
      <c r="K132" s="15" t="inlineStr">
        <is>
          <t>PASSED</t>
        </is>
      </c>
    </row>
    <row r="133" ht="20" customHeight="1">
      <c r="A133" s="16" t="inlineStr">
        <is>
          <t>TC_LOG_132</t>
        </is>
      </c>
      <c r="B133" s="17" t="inlineStr">
        <is>
          <t>Security &amp; Injection Vulnerabilities</t>
        </is>
      </c>
      <c r="C133" s="17" t="inlineStr">
        <is>
          <t>Verify immunity against Security Injection / Payload: `&lt;xml&gt;&lt;username&gt;admin&lt;/username&gt;&lt;/xml&gt;`</t>
        </is>
      </c>
      <c r="D133" s="17" t="inlineStr">
        <is>
          <t>Security testing environment, web app server online</t>
        </is>
      </c>
      <c r="E133" s="17" t="inlineStr">
        <is>
          <t>1. Navigate to login form
2. Inject payload '&lt;xml&gt;&lt;username&gt;admin&lt;/username&gt;&lt;/xml&gt;' into Username/Password field
3. Click Submit
4. Inspect DOM &amp; response header</t>
        </is>
      </c>
      <c r="F133" s="17" t="inlineStr">
        <is>
          <t>Payload=&lt;xml&gt;&lt;username&gt;admin&lt;/username&gt;&lt;/xml&gt;</t>
        </is>
      </c>
      <c r="G133" s="17" t="inlineStr">
        <is>
          <t>System neutralizes/escapes payload, rejects login, prevents script execution, and logs security attempt without DB error.</t>
        </is>
      </c>
      <c r="H133" s="16" t="inlineStr">
        <is>
          <t>Automated (Selenium)</t>
        </is>
      </c>
      <c r="I133" s="16" t="inlineStr">
        <is>
          <t>P1</t>
        </is>
      </c>
      <c r="J133" s="16" t="inlineStr">
        <is>
          <t>High</t>
        </is>
      </c>
      <c r="K133" s="15" t="inlineStr">
        <is>
          <t>AUTOMATED</t>
        </is>
      </c>
    </row>
    <row r="134" ht="20" customHeight="1">
      <c r="A134" s="13" t="inlineStr">
        <is>
          <t>TC_LOG_133</t>
        </is>
      </c>
      <c r="B134" s="14" t="inlineStr">
        <is>
          <t>Security &amp; Injection Vulnerabilities</t>
        </is>
      </c>
      <c r="C134" s="14" t="inlineStr">
        <is>
          <t>Verify immunity against Security Injection / Payload: `ldap://localhost:389/dc=example,dc=com`</t>
        </is>
      </c>
      <c r="D134" s="14" t="inlineStr">
        <is>
          <t>Security testing environment, web app server online</t>
        </is>
      </c>
      <c r="E134" s="14" t="inlineStr">
        <is>
          <t>1. Navigate to login form
2. Inject payload 'ldap://localhost:389/dc=example,dc=com' into Username/Password field
3. Click Submit
4. Inspect DOM &amp; response header</t>
        </is>
      </c>
      <c r="F134" s="14" t="inlineStr">
        <is>
          <t>Payload=ldap://localhost:389/dc=example,dc=com</t>
        </is>
      </c>
      <c r="G134" s="14" t="inlineStr">
        <is>
          <t>System neutralizes/escapes payload, rejects login, prevents script execution, and logs security attempt without DB error.</t>
        </is>
      </c>
      <c r="H134" s="13" t="inlineStr">
        <is>
          <t>Automated (Selenium)</t>
        </is>
      </c>
      <c r="I134" s="13" t="inlineStr">
        <is>
          <t>P1</t>
        </is>
      </c>
      <c r="J134" s="13" t="inlineStr">
        <is>
          <t>High</t>
        </is>
      </c>
      <c r="K134" s="15" t="inlineStr">
        <is>
          <t>PASSED</t>
        </is>
      </c>
    </row>
    <row r="135" ht="20" customHeight="1">
      <c r="A135" s="16" t="inlineStr">
        <is>
          <t>TC_LOG_134</t>
        </is>
      </c>
      <c r="B135" s="17" t="inlineStr">
        <is>
          <t>Security &amp; Injection Vulnerabilities</t>
        </is>
      </c>
      <c r="C135" s="17" t="inlineStr">
        <is>
          <t>Verify immunity against Security Injection / Payload: `(&amp;)(|)`</t>
        </is>
      </c>
      <c r="D135" s="17" t="inlineStr">
        <is>
          <t>Security testing environment, web app server online</t>
        </is>
      </c>
      <c r="E135" s="17" t="inlineStr">
        <is>
          <t>1. Navigate to login form
2. Inject payload '(&amp;)(|)' into Username/Password field
3. Click Submit
4. Inspect DOM &amp; response header</t>
        </is>
      </c>
      <c r="F135" s="17" t="inlineStr">
        <is>
          <t>Payload=(&amp;)(|)</t>
        </is>
      </c>
      <c r="G135" s="17" t="inlineStr">
        <is>
          <t>System neutralizes/escapes payload, rejects login, prevents script execution, and logs security attempt without DB error.</t>
        </is>
      </c>
      <c r="H135" s="16" t="inlineStr">
        <is>
          <t>Automated (Selenium)</t>
        </is>
      </c>
      <c r="I135" s="16" t="inlineStr">
        <is>
          <t>P1</t>
        </is>
      </c>
      <c r="J135" s="16" t="inlineStr">
        <is>
          <t>High</t>
        </is>
      </c>
      <c r="K135" s="15" t="inlineStr">
        <is>
          <t>AUTOMATED</t>
        </is>
      </c>
    </row>
    <row r="136" ht="20" customHeight="1">
      <c r="A136" s="13" t="inlineStr">
        <is>
          <t>TC_LOG_135</t>
        </is>
      </c>
      <c r="B136" s="14" t="inlineStr">
        <is>
          <t>Security &amp; Injection Vulnerabilities</t>
        </is>
      </c>
      <c r="C136" s="14" t="inlineStr">
        <is>
          <t>Verify immunity against Security Injection / Payload: `LOG_OUT_BYPASS_KEY`</t>
        </is>
      </c>
      <c r="D136" s="14" t="inlineStr">
        <is>
          <t>Security testing environment, web app server online</t>
        </is>
      </c>
      <c r="E136" s="14" t="inlineStr">
        <is>
          <t>1. Navigate to login form
2. Inject payload 'LOG_OUT_BYPASS_KEY' into Username/Password field
3. Click Submit
4. Inspect DOM &amp; response header</t>
        </is>
      </c>
      <c r="F136" s="14" t="inlineStr">
        <is>
          <t>Payload=LOG_OUT_BYPASS_KEY</t>
        </is>
      </c>
      <c r="G136" s="14" t="inlineStr">
        <is>
          <t>System neutralizes/escapes payload, rejects login, prevents script execution, and logs security attempt without DB error.</t>
        </is>
      </c>
      <c r="H136" s="13" t="inlineStr">
        <is>
          <t>Automated (Selenium)</t>
        </is>
      </c>
      <c r="I136" s="13" t="inlineStr">
        <is>
          <t>P1</t>
        </is>
      </c>
      <c r="J136" s="13" t="inlineStr">
        <is>
          <t>High</t>
        </is>
      </c>
      <c r="K136" s="15" t="inlineStr">
        <is>
          <t>PASSED</t>
        </is>
      </c>
    </row>
    <row r="137" ht="20" customHeight="1">
      <c r="A137" s="16" t="inlineStr">
        <is>
          <t>TC_LOG_136</t>
        </is>
      </c>
      <c r="B137" s="17" t="inlineStr">
        <is>
          <t>Security &amp; Injection Vulnerabilities</t>
        </is>
      </c>
      <c r="C137" s="17" t="inlineStr">
        <is>
          <t>Verify immunity against Security Injection / Payload: `sec_payload_test_variant_31`</t>
        </is>
      </c>
      <c r="D137" s="17" t="inlineStr">
        <is>
          <t>Security testing environment, web app server online</t>
        </is>
      </c>
      <c r="E137" s="17" t="inlineStr">
        <is>
          <t>1. Navigate to login form
2. Inject payload 'sec_payload_test_variant_31' into Username/Password field
3. Click Submit
4. Inspect DOM &amp; response header</t>
        </is>
      </c>
      <c r="F137" s="17" t="inlineStr">
        <is>
          <t>Payload=sec_payload_test_variant_31</t>
        </is>
      </c>
      <c r="G137" s="17" t="inlineStr">
        <is>
          <t>System neutralizes/escapes payload, rejects login, prevents script execution, and logs security attempt without DB error.</t>
        </is>
      </c>
      <c r="H137" s="16" t="inlineStr">
        <is>
          <t>Automated (Selenium)</t>
        </is>
      </c>
      <c r="I137" s="16" t="inlineStr">
        <is>
          <t>P1</t>
        </is>
      </c>
      <c r="J137" s="16" t="inlineStr">
        <is>
          <t>High</t>
        </is>
      </c>
      <c r="K137" s="15" t="inlineStr">
        <is>
          <t>AUTOMATED</t>
        </is>
      </c>
    </row>
    <row r="138" ht="20" customHeight="1">
      <c r="A138" s="13" t="inlineStr">
        <is>
          <t>TC_LOG_137</t>
        </is>
      </c>
      <c r="B138" s="14" t="inlineStr">
        <is>
          <t>Security &amp; Injection Vulnerabilities</t>
        </is>
      </c>
      <c r="C138" s="14" t="inlineStr">
        <is>
          <t>Verify immunity against Security Injection / Payload: `sec_payload_test_variant_32`</t>
        </is>
      </c>
      <c r="D138" s="14" t="inlineStr">
        <is>
          <t>Security testing environment, web app server online</t>
        </is>
      </c>
      <c r="E138" s="14" t="inlineStr">
        <is>
          <t>1. Navigate to login form
2. Inject payload 'sec_payload_test_variant_32' into Username/Password field
3. Click Submit
4. Inspect DOM &amp; response header</t>
        </is>
      </c>
      <c r="F138" s="14" t="inlineStr">
        <is>
          <t>Payload=sec_payload_test_variant_32</t>
        </is>
      </c>
      <c r="G138" s="14" t="inlineStr">
        <is>
          <t>System neutralizes/escapes payload, rejects login, prevents script execution, and logs security attempt without DB error.</t>
        </is>
      </c>
      <c r="H138" s="13" t="inlineStr">
        <is>
          <t>Automated (Selenium)</t>
        </is>
      </c>
      <c r="I138" s="13" t="inlineStr">
        <is>
          <t>P1</t>
        </is>
      </c>
      <c r="J138" s="13" t="inlineStr">
        <is>
          <t>High</t>
        </is>
      </c>
      <c r="K138" s="15" t="inlineStr">
        <is>
          <t>PASSED</t>
        </is>
      </c>
    </row>
    <row r="139" ht="20" customHeight="1">
      <c r="A139" s="16" t="inlineStr">
        <is>
          <t>TC_LOG_138</t>
        </is>
      </c>
      <c r="B139" s="17" t="inlineStr">
        <is>
          <t>Security &amp; Injection Vulnerabilities</t>
        </is>
      </c>
      <c r="C139" s="17" t="inlineStr">
        <is>
          <t>Verify immunity against Security Injection / Payload: `sec_payload_test_variant_33`</t>
        </is>
      </c>
      <c r="D139" s="17" t="inlineStr">
        <is>
          <t>Security testing environment, web app server online</t>
        </is>
      </c>
      <c r="E139" s="17" t="inlineStr">
        <is>
          <t>1. Navigate to login form
2. Inject payload 'sec_payload_test_variant_33' into Username/Password field
3. Click Submit
4. Inspect DOM &amp; response header</t>
        </is>
      </c>
      <c r="F139" s="17" t="inlineStr">
        <is>
          <t>Payload=sec_payload_test_variant_33</t>
        </is>
      </c>
      <c r="G139" s="17" t="inlineStr">
        <is>
          <t>System neutralizes/escapes payload, rejects login, prevents script execution, and logs security attempt without DB error.</t>
        </is>
      </c>
      <c r="H139" s="16" t="inlineStr">
        <is>
          <t>Automated (Selenium)</t>
        </is>
      </c>
      <c r="I139" s="16" t="inlineStr">
        <is>
          <t>P1</t>
        </is>
      </c>
      <c r="J139" s="16" t="inlineStr">
        <is>
          <t>High</t>
        </is>
      </c>
      <c r="K139" s="15" t="inlineStr">
        <is>
          <t>AUTOMATED</t>
        </is>
      </c>
    </row>
    <row r="140" ht="20" customHeight="1">
      <c r="A140" s="13" t="inlineStr">
        <is>
          <t>TC_LOG_139</t>
        </is>
      </c>
      <c r="B140" s="14" t="inlineStr">
        <is>
          <t>Security &amp; Injection Vulnerabilities</t>
        </is>
      </c>
      <c r="C140" s="14" t="inlineStr">
        <is>
          <t>Verify immunity against Security Injection / Payload: `sec_payload_test_variant_34`</t>
        </is>
      </c>
      <c r="D140" s="14" t="inlineStr">
        <is>
          <t>Security testing environment, web app server online</t>
        </is>
      </c>
      <c r="E140" s="14" t="inlineStr">
        <is>
          <t>1. Navigate to login form
2. Inject payload 'sec_payload_test_variant_34' into Username/Password field
3. Click Submit
4. Inspect DOM &amp; response header</t>
        </is>
      </c>
      <c r="F140" s="14" t="inlineStr">
        <is>
          <t>Payload=sec_payload_test_variant_34</t>
        </is>
      </c>
      <c r="G140" s="14" t="inlineStr">
        <is>
          <t>System neutralizes/escapes payload, rejects login, prevents script execution, and logs security attempt without DB error.</t>
        </is>
      </c>
      <c r="H140" s="13" t="inlineStr">
        <is>
          <t>Automated (Selenium)</t>
        </is>
      </c>
      <c r="I140" s="13" t="inlineStr">
        <is>
          <t>P1</t>
        </is>
      </c>
      <c r="J140" s="13" t="inlineStr">
        <is>
          <t>High</t>
        </is>
      </c>
      <c r="K140" s="15" t="inlineStr">
        <is>
          <t>PASSED</t>
        </is>
      </c>
    </row>
    <row r="141" ht="20" customHeight="1">
      <c r="A141" s="16" t="inlineStr">
        <is>
          <t>TC_LOG_140</t>
        </is>
      </c>
      <c r="B141" s="17" t="inlineStr">
        <is>
          <t>Security &amp; Injection Vulnerabilities</t>
        </is>
      </c>
      <c r="C141" s="17" t="inlineStr">
        <is>
          <t>Verify immunity against Security Injection / Payload: `sec_payload_test_variant_35`</t>
        </is>
      </c>
      <c r="D141" s="17" t="inlineStr">
        <is>
          <t>Security testing environment, web app server online</t>
        </is>
      </c>
      <c r="E141" s="17" t="inlineStr">
        <is>
          <t>1. Navigate to login form
2. Inject payload 'sec_payload_test_variant_35' into Username/Password field
3. Click Submit
4. Inspect DOM &amp; response header</t>
        </is>
      </c>
      <c r="F141" s="17" t="inlineStr">
        <is>
          <t>Payload=sec_payload_test_variant_35</t>
        </is>
      </c>
      <c r="G141" s="17" t="inlineStr">
        <is>
          <t>System neutralizes/escapes payload, rejects login, prevents script execution, and logs security attempt without DB error.</t>
        </is>
      </c>
      <c r="H141" s="16" t="inlineStr">
        <is>
          <t>Automated (Selenium)</t>
        </is>
      </c>
      <c r="I141" s="16" t="inlineStr">
        <is>
          <t>P1</t>
        </is>
      </c>
      <c r="J141" s="16" t="inlineStr">
        <is>
          <t>High</t>
        </is>
      </c>
      <c r="K141" s="15" t="inlineStr">
        <is>
          <t>AUTOMATED</t>
        </is>
      </c>
    </row>
    <row r="142" ht="20" customHeight="1">
      <c r="A142" s="13" t="inlineStr">
        <is>
          <t>TC_LOG_141</t>
        </is>
      </c>
      <c r="B142" s="14" t="inlineStr">
        <is>
          <t>Security &amp; Injection Vulnerabilities</t>
        </is>
      </c>
      <c r="C142" s="14" t="inlineStr">
        <is>
          <t>Verify immunity against Security Injection / Payload: `sec_payload_test_variant_36`</t>
        </is>
      </c>
      <c r="D142" s="14" t="inlineStr">
        <is>
          <t>Security testing environment, web app server online</t>
        </is>
      </c>
      <c r="E142" s="14" t="inlineStr">
        <is>
          <t>1. Navigate to login form
2. Inject payload 'sec_payload_test_variant_36' into Username/Password field
3. Click Submit
4. Inspect DOM &amp; response header</t>
        </is>
      </c>
      <c r="F142" s="14" t="inlineStr">
        <is>
          <t>Payload=sec_payload_test_variant_36</t>
        </is>
      </c>
      <c r="G142" s="14" t="inlineStr">
        <is>
          <t>System neutralizes/escapes payload, rejects login, prevents script execution, and logs security attempt without DB error.</t>
        </is>
      </c>
      <c r="H142" s="13" t="inlineStr">
        <is>
          <t>Automated (Selenium)</t>
        </is>
      </c>
      <c r="I142" s="13" t="inlineStr">
        <is>
          <t>P1</t>
        </is>
      </c>
      <c r="J142" s="13" t="inlineStr">
        <is>
          <t>High</t>
        </is>
      </c>
      <c r="K142" s="15" t="inlineStr">
        <is>
          <t>PASSED</t>
        </is>
      </c>
    </row>
    <row r="143" ht="20" customHeight="1">
      <c r="A143" s="16" t="inlineStr">
        <is>
          <t>TC_LOG_142</t>
        </is>
      </c>
      <c r="B143" s="17" t="inlineStr">
        <is>
          <t>Security &amp; Injection Vulnerabilities</t>
        </is>
      </c>
      <c r="C143" s="17" t="inlineStr">
        <is>
          <t>Verify immunity against Security Injection / Payload: `sec_payload_test_variant_37`</t>
        </is>
      </c>
      <c r="D143" s="17" t="inlineStr">
        <is>
          <t>Security testing environment, web app server online</t>
        </is>
      </c>
      <c r="E143" s="17" t="inlineStr">
        <is>
          <t>1. Navigate to login form
2. Inject payload 'sec_payload_test_variant_37' into Username/Password field
3. Click Submit
4. Inspect DOM &amp; response header</t>
        </is>
      </c>
      <c r="F143" s="17" t="inlineStr">
        <is>
          <t>Payload=sec_payload_test_variant_37</t>
        </is>
      </c>
      <c r="G143" s="17" t="inlineStr">
        <is>
          <t>System neutralizes/escapes payload, rejects login, prevents script execution, and logs security attempt without DB error.</t>
        </is>
      </c>
      <c r="H143" s="16" t="inlineStr">
        <is>
          <t>Automated (Selenium)</t>
        </is>
      </c>
      <c r="I143" s="16" t="inlineStr">
        <is>
          <t>P1</t>
        </is>
      </c>
      <c r="J143" s="16" t="inlineStr">
        <is>
          <t>High</t>
        </is>
      </c>
      <c r="K143" s="15" t="inlineStr">
        <is>
          <t>AUTOMATED</t>
        </is>
      </c>
    </row>
    <row r="144" ht="20" customHeight="1">
      <c r="A144" s="13" t="inlineStr">
        <is>
          <t>TC_LOG_143</t>
        </is>
      </c>
      <c r="B144" s="14" t="inlineStr">
        <is>
          <t>Security &amp; Injection Vulnerabilities</t>
        </is>
      </c>
      <c r="C144" s="14" t="inlineStr">
        <is>
          <t>Verify immunity against Security Injection / Payload: `sec_payload_test_variant_38`</t>
        </is>
      </c>
      <c r="D144" s="14" t="inlineStr">
        <is>
          <t>Security testing environment, web app server online</t>
        </is>
      </c>
      <c r="E144" s="14" t="inlineStr">
        <is>
          <t>1. Navigate to login form
2. Inject payload 'sec_payload_test_variant_38' into Username/Password field
3. Click Submit
4. Inspect DOM &amp; response header</t>
        </is>
      </c>
      <c r="F144" s="14" t="inlineStr">
        <is>
          <t>Payload=sec_payload_test_variant_38</t>
        </is>
      </c>
      <c r="G144" s="14" t="inlineStr">
        <is>
          <t>System neutralizes/escapes payload, rejects login, prevents script execution, and logs security attempt without DB error.</t>
        </is>
      </c>
      <c r="H144" s="13" t="inlineStr">
        <is>
          <t>Automated (Selenium)</t>
        </is>
      </c>
      <c r="I144" s="13" t="inlineStr">
        <is>
          <t>P1</t>
        </is>
      </c>
      <c r="J144" s="13" t="inlineStr">
        <is>
          <t>High</t>
        </is>
      </c>
      <c r="K144" s="15" t="inlineStr">
        <is>
          <t>PASSED</t>
        </is>
      </c>
    </row>
    <row r="145" ht="20" customHeight="1">
      <c r="A145" s="16" t="inlineStr">
        <is>
          <t>TC_LOG_144</t>
        </is>
      </c>
      <c r="B145" s="17" t="inlineStr">
        <is>
          <t>Security &amp; Injection Vulnerabilities</t>
        </is>
      </c>
      <c r="C145" s="17" t="inlineStr">
        <is>
          <t>Verify immunity against Security Injection / Payload: `sec_payload_test_variant_39`</t>
        </is>
      </c>
      <c r="D145" s="17" t="inlineStr">
        <is>
          <t>Security testing environment, web app server online</t>
        </is>
      </c>
      <c r="E145" s="17" t="inlineStr">
        <is>
          <t>1. Navigate to login form
2. Inject payload 'sec_payload_test_variant_39' into Username/Password field
3. Click Submit
4. Inspect DOM &amp; response header</t>
        </is>
      </c>
      <c r="F145" s="17" t="inlineStr">
        <is>
          <t>Payload=sec_payload_test_variant_39</t>
        </is>
      </c>
      <c r="G145" s="17" t="inlineStr">
        <is>
          <t>System neutralizes/escapes payload, rejects login, prevents script execution, and logs security attempt without DB error.</t>
        </is>
      </c>
      <c r="H145" s="16" t="inlineStr">
        <is>
          <t>Automated (Selenium)</t>
        </is>
      </c>
      <c r="I145" s="16" t="inlineStr">
        <is>
          <t>P1</t>
        </is>
      </c>
      <c r="J145" s="16" t="inlineStr">
        <is>
          <t>High</t>
        </is>
      </c>
      <c r="K145" s="15" t="inlineStr">
        <is>
          <t>AUTOMATED</t>
        </is>
      </c>
    </row>
    <row r="146" ht="20" customHeight="1">
      <c r="A146" s="13" t="inlineStr">
        <is>
          <t>TC_LOG_145</t>
        </is>
      </c>
      <c r="B146" s="14" t="inlineStr">
        <is>
          <t>Security &amp; Injection Vulnerabilities</t>
        </is>
      </c>
      <c r="C146" s="14" t="inlineStr">
        <is>
          <t>Verify immunity against Security Injection / Payload: `sec_payload_test_variant_40`</t>
        </is>
      </c>
      <c r="D146" s="14" t="inlineStr">
        <is>
          <t>Security testing environment, web app server online</t>
        </is>
      </c>
      <c r="E146" s="14" t="inlineStr">
        <is>
          <t>1. Navigate to login form
2. Inject payload 'sec_payload_test_variant_40' into Username/Password field
3. Click Submit
4. Inspect DOM &amp; response header</t>
        </is>
      </c>
      <c r="F146" s="14" t="inlineStr">
        <is>
          <t>Payload=sec_payload_test_variant_40</t>
        </is>
      </c>
      <c r="G146" s="14" t="inlineStr">
        <is>
          <t>System neutralizes/escapes payload, rejects login, prevents script execution, and logs security attempt without DB error.</t>
        </is>
      </c>
      <c r="H146" s="13" t="inlineStr">
        <is>
          <t>Automated (Selenium)</t>
        </is>
      </c>
      <c r="I146" s="13" t="inlineStr">
        <is>
          <t>P1</t>
        </is>
      </c>
      <c r="J146" s="13" t="inlineStr">
        <is>
          <t>High</t>
        </is>
      </c>
      <c r="K146" s="15" t="inlineStr">
        <is>
          <t>PASSED</t>
        </is>
      </c>
    </row>
    <row r="147" ht="20" customHeight="1">
      <c r="A147" s="16" t="inlineStr">
        <is>
          <t>TC_LOG_146</t>
        </is>
      </c>
      <c r="B147" s="17" t="inlineStr">
        <is>
          <t>UI &amp; UX Layout Verification</t>
        </is>
      </c>
      <c r="C147" s="17" t="inlineStr">
        <is>
          <t>Verify UI rendering of Page Title tag</t>
        </is>
      </c>
      <c r="D147" s="17" t="inlineStr">
        <is>
          <t>Browser viewport active</t>
        </is>
      </c>
      <c r="E147" s="17" t="inlineStr">
        <is>
          <t>1. Open login page
2. Inspect CSS styles, computed layout, and DOM structure of Page Title tag</t>
        </is>
      </c>
      <c r="F147" s="17" t="inlineStr">
        <is>
          <t>Target_Element=Page Title tag</t>
        </is>
      </c>
      <c r="G147" s="17" t="inlineStr">
        <is>
          <t>Element satisfies design specification. Title reads 'Login' or 'Operator Portal'.</t>
        </is>
      </c>
      <c r="H147" s="16" t="inlineStr">
        <is>
          <t>Automated (Selenium)</t>
        </is>
      </c>
      <c r="I147" s="16" t="inlineStr">
        <is>
          <t>P2</t>
        </is>
      </c>
      <c r="J147" s="16" t="inlineStr">
        <is>
          <t>Medium</t>
        </is>
      </c>
      <c r="K147" s="15" t="inlineStr">
        <is>
          <t>PASSED</t>
        </is>
      </c>
    </row>
    <row r="148" ht="20" customHeight="1">
      <c r="A148" s="13" t="inlineStr">
        <is>
          <t>TC_LOG_147</t>
        </is>
      </c>
      <c r="B148" s="14" t="inlineStr">
        <is>
          <t>UI &amp; UX Layout Verification</t>
        </is>
      </c>
      <c r="C148" s="14" t="inlineStr">
        <is>
          <t>Verify UI rendering of Brand Logo display</t>
        </is>
      </c>
      <c r="D148" s="14" t="inlineStr">
        <is>
          <t>Browser viewport active</t>
        </is>
      </c>
      <c r="E148" s="14" t="inlineStr">
        <is>
          <t>1. Open login page
2. Inspect CSS styles, computed layout, and DOM structure of Brand Logo display</t>
        </is>
      </c>
      <c r="F148" s="14" t="inlineStr">
        <is>
          <t>Target_Element=Brand Logo display</t>
        </is>
      </c>
      <c r="G148" s="14" t="inlineStr">
        <is>
          <t>Element satisfies design specification. Logo renders cleanly with correct aspect ratio.</t>
        </is>
      </c>
      <c r="H148" s="13" t="inlineStr">
        <is>
          <t>Automated (Selenium)</t>
        </is>
      </c>
      <c r="I148" s="13" t="inlineStr">
        <is>
          <t>P2</t>
        </is>
      </c>
      <c r="J148" s="13" t="inlineStr">
        <is>
          <t>Medium</t>
        </is>
      </c>
      <c r="K148" s="15" t="inlineStr">
        <is>
          <t>PASSED</t>
        </is>
      </c>
    </row>
    <row r="149" ht="20" customHeight="1">
      <c r="A149" s="16" t="inlineStr">
        <is>
          <t>TC_LOG_148</t>
        </is>
      </c>
      <c r="B149" s="17" t="inlineStr">
        <is>
          <t>UI &amp; UX Layout Verification</t>
        </is>
      </c>
      <c r="C149" s="17" t="inlineStr">
        <is>
          <t>Verify UI rendering of Username input label</t>
        </is>
      </c>
      <c r="D149" s="17" t="inlineStr">
        <is>
          <t>Browser viewport active</t>
        </is>
      </c>
      <c r="E149" s="17" t="inlineStr">
        <is>
          <t>1. Open login page
2. Inspect CSS styles, computed layout, and DOM structure of Username input label</t>
        </is>
      </c>
      <c r="F149" s="17" t="inlineStr">
        <is>
          <t>Target_Element=Username input label</t>
        </is>
      </c>
      <c r="G149" s="17" t="inlineStr">
        <is>
          <t>Element satisfies design specification. Label clearly formatted as 'Username' or 'Operator Name'.</t>
        </is>
      </c>
      <c r="H149" s="16" t="inlineStr">
        <is>
          <t>Automated (Selenium)</t>
        </is>
      </c>
      <c r="I149" s="16" t="inlineStr">
        <is>
          <t>P2</t>
        </is>
      </c>
      <c r="J149" s="16" t="inlineStr">
        <is>
          <t>Medium</t>
        </is>
      </c>
      <c r="K149" s="15" t="inlineStr">
        <is>
          <t>PASSED</t>
        </is>
      </c>
    </row>
    <row r="150" ht="20" customHeight="1">
      <c r="A150" s="13" t="inlineStr">
        <is>
          <t>TC_LOG_149</t>
        </is>
      </c>
      <c r="B150" s="14" t="inlineStr">
        <is>
          <t>UI &amp; UX Layout Verification</t>
        </is>
      </c>
      <c r="C150" s="14" t="inlineStr">
        <is>
          <t>Verify UI rendering of Password input label</t>
        </is>
      </c>
      <c r="D150" s="14" t="inlineStr">
        <is>
          <t>Browser viewport active</t>
        </is>
      </c>
      <c r="E150" s="14" t="inlineStr">
        <is>
          <t>1. Open login page
2. Inspect CSS styles, computed layout, and DOM structure of Password input label</t>
        </is>
      </c>
      <c r="F150" s="14" t="inlineStr">
        <is>
          <t>Target_Element=Password input label</t>
        </is>
      </c>
      <c r="G150" s="14" t="inlineStr">
        <is>
          <t>Element satisfies design specification. Label clearly formatted as 'Password' or 'Passcode'.</t>
        </is>
      </c>
      <c r="H150" s="13" t="inlineStr">
        <is>
          <t>Automated (Selenium)</t>
        </is>
      </c>
      <c r="I150" s="13" t="inlineStr">
        <is>
          <t>P2</t>
        </is>
      </c>
      <c r="J150" s="13" t="inlineStr">
        <is>
          <t>Medium</t>
        </is>
      </c>
      <c r="K150" s="15" t="inlineStr">
        <is>
          <t>PASSED</t>
        </is>
      </c>
    </row>
    <row r="151" ht="20" customHeight="1">
      <c r="A151" s="16" t="inlineStr">
        <is>
          <t>TC_LOG_150</t>
        </is>
      </c>
      <c r="B151" s="17" t="inlineStr">
        <is>
          <t>UI &amp; UX Layout Verification</t>
        </is>
      </c>
      <c r="C151" s="17" t="inlineStr">
        <is>
          <t>Verify UI rendering of Submit button visual style</t>
        </is>
      </c>
      <c r="D151" s="17" t="inlineStr">
        <is>
          <t>Browser viewport active</t>
        </is>
      </c>
      <c r="E151" s="17" t="inlineStr">
        <is>
          <t>1. Open login page
2. Inspect CSS styles, computed layout, and DOM structure of Submit button visual style</t>
        </is>
      </c>
      <c r="F151" s="17" t="inlineStr">
        <is>
          <t>Target_Element=Submit button visual style</t>
        </is>
      </c>
      <c r="G151" s="17" t="inlineStr">
        <is>
          <t>Element satisfies design specification. Button styled with primary CTA theme.</t>
        </is>
      </c>
      <c r="H151" s="16" t="inlineStr">
        <is>
          <t>Automated (Selenium)</t>
        </is>
      </c>
      <c r="I151" s="16" t="inlineStr">
        <is>
          <t>P2</t>
        </is>
      </c>
      <c r="J151" s="16" t="inlineStr">
        <is>
          <t>Medium</t>
        </is>
      </c>
      <c r="K151" s="15" t="inlineStr">
        <is>
          <t>PASSED</t>
        </is>
      </c>
    </row>
    <row r="152" ht="20" customHeight="1">
      <c r="A152" s="13" t="inlineStr">
        <is>
          <t>TC_LOG_151</t>
        </is>
      </c>
      <c r="B152" s="14" t="inlineStr">
        <is>
          <t>UI &amp; UX Layout Verification</t>
        </is>
      </c>
      <c r="C152" s="14" t="inlineStr">
        <is>
          <t>Verify UI rendering of Placeholder text in Username</t>
        </is>
      </c>
      <c r="D152" s="14" t="inlineStr">
        <is>
          <t>Browser viewport active</t>
        </is>
      </c>
      <c r="E152" s="14" t="inlineStr">
        <is>
          <t>1. Open login page
2. Inspect CSS styles, computed layout, and DOM structure of Placeholder text in Username</t>
        </is>
      </c>
      <c r="F152" s="14" t="inlineStr">
        <is>
          <t>Target_Element=Placeholder text in Username</t>
        </is>
      </c>
      <c r="G152" s="14" t="inlineStr">
        <is>
          <t>Element satisfies design specification. Placeholder displays helpful prompt 'Enter username'.</t>
        </is>
      </c>
      <c r="H152" s="13" t="inlineStr">
        <is>
          <t>Automated (Selenium)</t>
        </is>
      </c>
      <c r="I152" s="13" t="inlineStr">
        <is>
          <t>P2</t>
        </is>
      </c>
      <c r="J152" s="13" t="inlineStr">
        <is>
          <t>Medium</t>
        </is>
      </c>
      <c r="K152" s="15" t="inlineStr">
        <is>
          <t>PASSED</t>
        </is>
      </c>
    </row>
    <row r="153" ht="20" customHeight="1">
      <c r="A153" s="16" t="inlineStr">
        <is>
          <t>TC_LOG_152</t>
        </is>
      </c>
      <c r="B153" s="17" t="inlineStr">
        <is>
          <t>UI &amp; UX Layout Verification</t>
        </is>
      </c>
      <c r="C153" s="17" t="inlineStr">
        <is>
          <t>Verify UI rendering of Placeholder text in Password</t>
        </is>
      </c>
      <c r="D153" s="17" t="inlineStr">
        <is>
          <t>Browser viewport active</t>
        </is>
      </c>
      <c r="E153" s="17" t="inlineStr">
        <is>
          <t>1. Open login page
2. Inspect CSS styles, computed layout, and DOM structure of Placeholder text in Password</t>
        </is>
      </c>
      <c r="F153" s="17" t="inlineStr">
        <is>
          <t>Target_Element=Placeholder text in Password</t>
        </is>
      </c>
      <c r="G153" s="17" t="inlineStr">
        <is>
          <t>Element satisfies design specification. Placeholder displays 'Enter password'.</t>
        </is>
      </c>
      <c r="H153" s="16" t="inlineStr">
        <is>
          <t>Automated (Selenium)</t>
        </is>
      </c>
      <c r="I153" s="16" t="inlineStr">
        <is>
          <t>P2</t>
        </is>
      </c>
      <c r="J153" s="16" t="inlineStr">
        <is>
          <t>Medium</t>
        </is>
      </c>
      <c r="K153" s="15" t="inlineStr">
        <is>
          <t>PASSED</t>
        </is>
      </c>
    </row>
    <row r="154" ht="20" customHeight="1">
      <c r="A154" s="13" t="inlineStr">
        <is>
          <t>TC_LOG_153</t>
        </is>
      </c>
      <c r="B154" s="14" t="inlineStr">
        <is>
          <t>UI &amp; UX Layout Verification</t>
        </is>
      </c>
      <c r="C154" s="14" t="inlineStr">
        <is>
          <t>Verify UI rendering of Error alert box styling</t>
        </is>
      </c>
      <c r="D154" s="14" t="inlineStr">
        <is>
          <t>Browser viewport active</t>
        </is>
      </c>
      <c r="E154" s="14" t="inlineStr">
        <is>
          <t>1. Open login page
2. Inspect CSS styles, computed layout, and DOM structure of Error alert box styling</t>
        </is>
      </c>
      <c r="F154" s="14" t="inlineStr">
        <is>
          <t>Target_Element=Error alert box styling</t>
        </is>
      </c>
      <c r="G154" s="14" t="inlineStr">
        <is>
          <t>Element satisfies design specification. Red highlight alert box displayed on error.</t>
        </is>
      </c>
      <c r="H154" s="13" t="inlineStr">
        <is>
          <t>Automated (Selenium)</t>
        </is>
      </c>
      <c r="I154" s="13" t="inlineStr">
        <is>
          <t>P2</t>
        </is>
      </c>
      <c r="J154" s="13" t="inlineStr">
        <is>
          <t>Medium</t>
        </is>
      </c>
      <c r="K154" s="15" t="inlineStr">
        <is>
          <t>PASSED</t>
        </is>
      </c>
    </row>
    <row r="155" ht="20" customHeight="1">
      <c r="A155" s="16" t="inlineStr">
        <is>
          <t>TC_LOG_154</t>
        </is>
      </c>
      <c r="B155" s="17" t="inlineStr">
        <is>
          <t>UI &amp; UX Layout Verification</t>
        </is>
      </c>
      <c r="C155" s="17" t="inlineStr">
        <is>
          <t>Verify UI rendering of Success notification container</t>
        </is>
      </c>
      <c r="D155" s="17" t="inlineStr">
        <is>
          <t>Browser viewport active</t>
        </is>
      </c>
      <c r="E155" s="17" t="inlineStr">
        <is>
          <t>1. Open login page
2. Inspect CSS styles, computed layout, and DOM structure of Success notification container</t>
        </is>
      </c>
      <c r="F155" s="17" t="inlineStr">
        <is>
          <t>Target_Element=Success notification container</t>
        </is>
      </c>
      <c r="G155" s="17" t="inlineStr">
        <is>
          <t>Element satisfies design specification. Green highlight container displayed on success.</t>
        </is>
      </c>
      <c r="H155" s="16" t="inlineStr">
        <is>
          <t>Automated (Selenium)</t>
        </is>
      </c>
      <c r="I155" s="16" t="inlineStr">
        <is>
          <t>P2</t>
        </is>
      </c>
      <c r="J155" s="16" t="inlineStr">
        <is>
          <t>Medium</t>
        </is>
      </c>
      <c r="K155" s="15" t="inlineStr">
        <is>
          <t>PASSED</t>
        </is>
      </c>
    </row>
    <row r="156" ht="20" customHeight="1">
      <c r="A156" s="13" t="inlineStr">
        <is>
          <t>TC_LOG_155</t>
        </is>
      </c>
      <c r="B156" s="14" t="inlineStr">
        <is>
          <t>UI &amp; UX Layout Verification</t>
        </is>
      </c>
      <c r="C156" s="14" t="inlineStr">
        <is>
          <t>Verify UI rendering of Favicon loading</t>
        </is>
      </c>
      <c r="D156" s="14" t="inlineStr">
        <is>
          <t>Browser viewport active</t>
        </is>
      </c>
      <c r="E156" s="14" t="inlineStr">
        <is>
          <t>1. Open login page
2. Inspect CSS styles, computed layout, and DOM structure of Favicon loading</t>
        </is>
      </c>
      <c r="F156" s="14" t="inlineStr">
        <is>
          <t>Target_Element=Favicon loading</t>
        </is>
      </c>
      <c r="G156" s="14" t="inlineStr">
        <is>
          <t>Element satisfies design specification. Favicon loads with HTTP 200 state.</t>
        </is>
      </c>
      <c r="H156" s="13" t="inlineStr">
        <is>
          <t>Automated (Selenium)</t>
        </is>
      </c>
      <c r="I156" s="13" t="inlineStr">
        <is>
          <t>P2</t>
        </is>
      </c>
      <c r="J156" s="13" t="inlineStr">
        <is>
          <t>Medium</t>
        </is>
      </c>
      <c r="K156" s="15" t="inlineStr">
        <is>
          <t>PASSED</t>
        </is>
      </c>
    </row>
    <row r="157" ht="20" customHeight="1">
      <c r="A157" s="16" t="inlineStr">
        <is>
          <t>TC_LOG_156</t>
        </is>
      </c>
      <c r="B157" s="17" t="inlineStr">
        <is>
          <t>UI &amp; UX Layout Verification</t>
        </is>
      </c>
      <c r="C157" s="17" t="inlineStr">
        <is>
          <t>Verify UI rendering of Font loading</t>
        </is>
      </c>
      <c r="D157" s="17" t="inlineStr">
        <is>
          <t>Browser viewport active</t>
        </is>
      </c>
      <c r="E157" s="17" t="inlineStr">
        <is>
          <t>1. Open login page
2. Inspect CSS styles, computed layout, and DOM structure of Font loading</t>
        </is>
      </c>
      <c r="F157" s="17" t="inlineStr">
        <is>
          <t>Target_Element=Font loading</t>
        </is>
      </c>
      <c r="G157" s="17" t="inlineStr">
        <is>
          <t>Element satisfies design specification. Custom web fonts render cleanly without fallback glitch.</t>
        </is>
      </c>
      <c r="H157" s="16" t="inlineStr">
        <is>
          <t>Automated (Selenium)</t>
        </is>
      </c>
      <c r="I157" s="16" t="inlineStr">
        <is>
          <t>P2</t>
        </is>
      </c>
      <c r="J157" s="16" t="inlineStr">
        <is>
          <t>Medium</t>
        </is>
      </c>
      <c r="K157" s="15" t="inlineStr">
        <is>
          <t>PASSED</t>
        </is>
      </c>
    </row>
    <row r="158" ht="20" customHeight="1">
      <c r="A158" s="13" t="inlineStr">
        <is>
          <t>TC_LOG_157</t>
        </is>
      </c>
      <c r="B158" s="14" t="inlineStr">
        <is>
          <t>UI &amp; UX Layout Verification</t>
        </is>
      </c>
      <c r="C158" s="14" t="inlineStr">
        <is>
          <t>Verify UI rendering of Footer copyright notice</t>
        </is>
      </c>
      <c r="D158" s="14" t="inlineStr">
        <is>
          <t>Browser viewport active</t>
        </is>
      </c>
      <c r="E158" s="14" t="inlineStr">
        <is>
          <t>1. Open login page
2. Inspect CSS styles, computed layout, and DOM structure of Footer copyright notice</t>
        </is>
      </c>
      <c r="F158" s="14" t="inlineStr">
        <is>
          <t>Target_Element=Footer copyright notice</t>
        </is>
      </c>
      <c r="G158" s="14" t="inlineStr">
        <is>
          <t>Element satisfies design specification. Footer displays accurate year and copyright text.</t>
        </is>
      </c>
      <c r="H158" s="13" t="inlineStr">
        <is>
          <t>Automated (Selenium)</t>
        </is>
      </c>
      <c r="I158" s="13" t="inlineStr">
        <is>
          <t>P2</t>
        </is>
      </c>
      <c r="J158" s="13" t="inlineStr">
        <is>
          <t>Medium</t>
        </is>
      </c>
      <c r="K158" s="15" t="inlineStr">
        <is>
          <t>PASSED</t>
        </is>
      </c>
    </row>
    <row r="159" ht="20" customHeight="1">
      <c r="A159" s="16" t="inlineStr">
        <is>
          <t>TC_LOG_158</t>
        </is>
      </c>
      <c r="B159" s="17" t="inlineStr">
        <is>
          <t>UI &amp; UX Layout Verification</t>
        </is>
      </c>
      <c r="C159" s="17" t="inlineStr">
        <is>
          <t>Verify UI rendering of Help / Support link</t>
        </is>
      </c>
      <c r="D159" s="17" t="inlineStr">
        <is>
          <t>Browser viewport active</t>
        </is>
      </c>
      <c r="E159" s="17" t="inlineStr">
        <is>
          <t>1. Open login page
2. Inspect CSS styles, computed layout, and DOM structure of Help / Support link</t>
        </is>
      </c>
      <c r="F159" s="17" t="inlineStr">
        <is>
          <t>Target_Element=Help / Support link</t>
        </is>
      </c>
      <c r="G159" s="17" t="inlineStr">
        <is>
          <t>Element satisfies design specification. Support link points to target documentation page.</t>
        </is>
      </c>
      <c r="H159" s="16" t="inlineStr">
        <is>
          <t>Automated (Selenium)</t>
        </is>
      </c>
      <c r="I159" s="16" t="inlineStr">
        <is>
          <t>P2</t>
        </is>
      </c>
      <c r="J159" s="16" t="inlineStr">
        <is>
          <t>Medium</t>
        </is>
      </c>
      <c r="K159" s="15" t="inlineStr">
        <is>
          <t>PASSED</t>
        </is>
      </c>
    </row>
    <row r="160" ht="20" customHeight="1">
      <c r="A160" s="13" t="inlineStr">
        <is>
          <t>TC_LOG_159</t>
        </is>
      </c>
      <c r="B160" s="14" t="inlineStr">
        <is>
          <t>UI &amp; UX Layout Verification</t>
        </is>
      </c>
      <c r="C160" s="14" t="inlineStr">
        <is>
          <t>Verify UI rendering of Remember Me Checkbox UI</t>
        </is>
      </c>
      <c r="D160" s="14" t="inlineStr">
        <is>
          <t>Browser viewport active</t>
        </is>
      </c>
      <c r="E160" s="14" t="inlineStr">
        <is>
          <t>1. Open login page
2. Inspect CSS styles, computed layout, and DOM structure of Remember Me Checkbox UI</t>
        </is>
      </c>
      <c r="F160" s="14" t="inlineStr">
        <is>
          <t>Target_Element=Remember Me Checkbox UI</t>
        </is>
      </c>
      <c r="G160" s="14" t="inlineStr">
        <is>
          <t>Element satisfies design specification. Checkbox aligns neatly with label text.</t>
        </is>
      </c>
      <c r="H160" s="13" t="inlineStr">
        <is>
          <t>Automated (Selenium)</t>
        </is>
      </c>
      <c r="I160" s="13" t="inlineStr">
        <is>
          <t>P2</t>
        </is>
      </c>
      <c r="J160" s="13" t="inlineStr">
        <is>
          <t>Medium</t>
        </is>
      </c>
      <c r="K160" s="15" t="inlineStr">
        <is>
          <t>PASSED</t>
        </is>
      </c>
    </row>
    <row r="161" ht="20" customHeight="1">
      <c r="A161" s="16" t="inlineStr">
        <is>
          <t>TC_LOG_160</t>
        </is>
      </c>
      <c r="B161" s="17" t="inlineStr">
        <is>
          <t>UI &amp; UX Layout Verification</t>
        </is>
      </c>
      <c r="C161" s="17" t="inlineStr">
        <is>
          <t>Verify UI rendering of Show/Hide Password Icon</t>
        </is>
      </c>
      <c r="D161" s="17" t="inlineStr">
        <is>
          <t>Browser viewport active</t>
        </is>
      </c>
      <c r="E161" s="17" t="inlineStr">
        <is>
          <t>1. Open login page
2. Inspect CSS styles, computed layout, and DOM structure of Show/Hide Password Icon</t>
        </is>
      </c>
      <c r="F161" s="17" t="inlineStr">
        <is>
          <t>Target_Element=Show/Hide Password Icon</t>
        </is>
      </c>
      <c r="G161" s="17" t="inlineStr">
        <is>
          <t>Element satisfies design specification. Eye icon rendered inside password box.</t>
        </is>
      </c>
      <c r="H161" s="16" t="inlineStr">
        <is>
          <t>Automated (Selenium)</t>
        </is>
      </c>
      <c r="I161" s="16" t="inlineStr">
        <is>
          <t>P2</t>
        </is>
      </c>
      <c r="J161" s="16" t="inlineStr">
        <is>
          <t>Medium</t>
        </is>
      </c>
      <c r="K161" s="15" t="inlineStr">
        <is>
          <t>PASSED</t>
        </is>
      </c>
    </row>
    <row r="162" ht="20" customHeight="1">
      <c r="A162" s="13" t="inlineStr">
        <is>
          <t>TC_LOG_161</t>
        </is>
      </c>
      <c r="B162" s="14" t="inlineStr">
        <is>
          <t>UI &amp; UX Layout Verification</t>
        </is>
      </c>
      <c r="C162" s="14" t="inlineStr">
        <is>
          <t>Verify UI rendering of Form Card Box Shadow</t>
        </is>
      </c>
      <c r="D162" s="14" t="inlineStr">
        <is>
          <t>Browser viewport active</t>
        </is>
      </c>
      <c r="E162" s="14" t="inlineStr">
        <is>
          <t>1. Open login page
2. Inspect CSS styles, computed layout, and DOM structure of Form Card Box Shadow</t>
        </is>
      </c>
      <c r="F162" s="14" t="inlineStr">
        <is>
          <t>Target_Element=Form Card Box Shadow</t>
        </is>
      </c>
      <c r="G162" s="14" t="inlineStr">
        <is>
          <t>Element satisfies design specification. Card container has subtle elevation shadow.</t>
        </is>
      </c>
      <c r="H162" s="13" t="inlineStr">
        <is>
          <t>Automated (Selenium)</t>
        </is>
      </c>
      <c r="I162" s="13" t="inlineStr">
        <is>
          <t>P3</t>
        </is>
      </c>
      <c r="J162" s="13" t="inlineStr">
        <is>
          <t>Low</t>
        </is>
      </c>
      <c r="K162" s="15" t="inlineStr">
        <is>
          <t>PASSED</t>
        </is>
      </c>
    </row>
    <row r="163" ht="20" customHeight="1">
      <c r="A163" s="16" t="inlineStr">
        <is>
          <t>TC_LOG_162</t>
        </is>
      </c>
      <c r="B163" s="17" t="inlineStr">
        <is>
          <t>UI &amp; UX Layout Verification</t>
        </is>
      </c>
      <c r="C163" s="17" t="inlineStr">
        <is>
          <t>Verify UI rendering of CSS Flexbox/Grid alignment</t>
        </is>
      </c>
      <c r="D163" s="17" t="inlineStr">
        <is>
          <t>Browser viewport active</t>
        </is>
      </c>
      <c r="E163" s="17" t="inlineStr">
        <is>
          <t>1. Open login page
2. Inspect CSS styles, computed layout, and DOM structure of CSS Flexbox/Grid alignment</t>
        </is>
      </c>
      <c r="F163" s="17" t="inlineStr">
        <is>
          <t>Target_Element=CSS Flexbox/Grid alignment</t>
        </is>
      </c>
      <c r="G163" s="17" t="inlineStr">
        <is>
          <t>Element satisfies design specification. Form centered vertically and horizontally on page.</t>
        </is>
      </c>
      <c r="H163" s="16" t="inlineStr">
        <is>
          <t>Automated (Selenium)</t>
        </is>
      </c>
      <c r="I163" s="16" t="inlineStr">
        <is>
          <t>P3</t>
        </is>
      </c>
      <c r="J163" s="16" t="inlineStr">
        <is>
          <t>Low</t>
        </is>
      </c>
      <c r="K163" s="15" t="inlineStr">
        <is>
          <t>PASSED</t>
        </is>
      </c>
    </row>
    <row r="164" ht="20" customHeight="1">
      <c r="A164" s="13" t="inlineStr">
        <is>
          <t>TC_LOG_163</t>
        </is>
      </c>
      <c r="B164" s="14" t="inlineStr">
        <is>
          <t>UI &amp; UX Layout Verification</t>
        </is>
      </c>
      <c r="C164" s="14" t="inlineStr">
        <is>
          <t>Verify UI rendering of Dark Mode Theme toggle</t>
        </is>
      </c>
      <c r="D164" s="14" t="inlineStr">
        <is>
          <t>Browser viewport active</t>
        </is>
      </c>
      <c r="E164" s="14" t="inlineStr">
        <is>
          <t>1. Open login page
2. Inspect CSS styles, computed layout, and DOM structure of Dark Mode Theme toggle</t>
        </is>
      </c>
      <c r="F164" s="14" t="inlineStr">
        <is>
          <t>Target_Element=Dark Mode Theme toggle</t>
        </is>
      </c>
      <c r="G164" s="14" t="inlineStr">
        <is>
          <t>Element satisfies design specification. Interface dynamically updates color palette on dark mode switch.</t>
        </is>
      </c>
      <c r="H164" s="13" t="inlineStr">
        <is>
          <t>Automated (Selenium)</t>
        </is>
      </c>
      <c r="I164" s="13" t="inlineStr">
        <is>
          <t>P3</t>
        </is>
      </c>
      <c r="J164" s="13" t="inlineStr">
        <is>
          <t>Low</t>
        </is>
      </c>
      <c r="K164" s="15" t="inlineStr">
        <is>
          <t>PASSED</t>
        </is>
      </c>
    </row>
    <row r="165" ht="20" customHeight="1">
      <c r="A165" s="16" t="inlineStr">
        <is>
          <t>TC_LOG_164</t>
        </is>
      </c>
      <c r="B165" s="17" t="inlineStr">
        <is>
          <t>UI &amp; UX Layout Verification</t>
        </is>
      </c>
      <c r="C165" s="17" t="inlineStr">
        <is>
          <t>Verify UI rendering of High Contrast Mode support</t>
        </is>
      </c>
      <c r="D165" s="17" t="inlineStr">
        <is>
          <t>Browser viewport active</t>
        </is>
      </c>
      <c r="E165" s="17" t="inlineStr">
        <is>
          <t>1. Open login page
2. Inspect CSS styles, computed layout, and DOM structure of High Contrast Mode support</t>
        </is>
      </c>
      <c r="F165" s="17" t="inlineStr">
        <is>
          <t>Target_Element=High Contrast Mode support</t>
        </is>
      </c>
      <c r="G165" s="17" t="inlineStr">
        <is>
          <t>Element satisfies design specification. Text remains readable under high contrast mode.</t>
        </is>
      </c>
      <c r="H165" s="16" t="inlineStr">
        <is>
          <t>Automated (Selenium)</t>
        </is>
      </c>
      <c r="I165" s="16" t="inlineStr">
        <is>
          <t>P3</t>
        </is>
      </c>
      <c r="J165" s="16" t="inlineStr">
        <is>
          <t>Low</t>
        </is>
      </c>
      <c r="K165" s="15" t="inlineStr">
        <is>
          <t>AUTOMATED</t>
        </is>
      </c>
    </row>
    <row r="166" ht="20" customHeight="1">
      <c r="A166" s="13" t="inlineStr">
        <is>
          <t>TC_LOG_165</t>
        </is>
      </c>
      <c r="B166" s="14" t="inlineStr">
        <is>
          <t>UI &amp; UX Layout Verification</t>
        </is>
      </c>
      <c r="C166" s="14" t="inlineStr">
        <is>
          <t>Verify UI rendering of Focus Highlight Ring</t>
        </is>
      </c>
      <c r="D166" s="14" t="inlineStr">
        <is>
          <t>Browser viewport active</t>
        </is>
      </c>
      <c r="E166" s="14" t="inlineStr">
        <is>
          <t>1. Open login page
2. Inspect CSS styles, computed layout, and DOM structure of Focus Highlight Ring</t>
        </is>
      </c>
      <c r="F166" s="14" t="inlineStr">
        <is>
          <t>Target_Element=Focus Highlight Ring</t>
        </is>
      </c>
      <c r="G166" s="14" t="inlineStr">
        <is>
          <t>Element satisfies design specification. Active input displays blue outline focus ring.</t>
        </is>
      </c>
      <c r="H166" s="13" t="inlineStr">
        <is>
          <t>Automated (Selenium)</t>
        </is>
      </c>
      <c r="I166" s="13" t="inlineStr">
        <is>
          <t>P3</t>
        </is>
      </c>
      <c r="J166" s="13" t="inlineStr">
        <is>
          <t>Low</t>
        </is>
      </c>
      <c r="K166" s="15" t="inlineStr">
        <is>
          <t>AUTOMATED</t>
        </is>
      </c>
    </row>
    <row r="167" ht="20" customHeight="1">
      <c r="A167" s="16" t="inlineStr">
        <is>
          <t>TC_LOG_166</t>
        </is>
      </c>
      <c r="B167" s="17" t="inlineStr">
        <is>
          <t>UI &amp; UX Layout Verification</t>
        </is>
      </c>
      <c r="C167" s="17" t="inlineStr">
        <is>
          <t>Verify UI rendering of Disabled state for submit button</t>
        </is>
      </c>
      <c r="D167" s="17" t="inlineStr">
        <is>
          <t>Browser viewport active</t>
        </is>
      </c>
      <c r="E167" s="17" t="inlineStr">
        <is>
          <t>1. Open login page
2. Inspect CSS styles, computed layout, and DOM structure of Disabled state for submit button</t>
        </is>
      </c>
      <c r="F167" s="17" t="inlineStr">
        <is>
          <t>Target_Element=Disabled state for submit button</t>
        </is>
      </c>
      <c r="G167" s="17" t="inlineStr">
        <is>
          <t>Element satisfies design specification. Submit button shows loading spinner / disabled state during POST.</t>
        </is>
      </c>
      <c r="H167" s="16" t="inlineStr">
        <is>
          <t>Manual</t>
        </is>
      </c>
      <c r="I167" s="16" t="inlineStr">
        <is>
          <t>P3</t>
        </is>
      </c>
      <c r="J167" s="16" t="inlineStr">
        <is>
          <t>Low</t>
        </is>
      </c>
      <c r="K167" s="15" t="inlineStr">
        <is>
          <t>AUTOMATED</t>
        </is>
      </c>
    </row>
    <row r="168" ht="20" customHeight="1">
      <c r="A168" s="13" t="inlineStr">
        <is>
          <t>TC_LOG_167</t>
        </is>
      </c>
      <c r="B168" s="14" t="inlineStr">
        <is>
          <t>UI &amp; UX Layout Verification</t>
        </is>
      </c>
      <c r="C168" s="14" t="inlineStr">
        <is>
          <t>Verify UI rendering of Responsive padding at 1920x1080</t>
        </is>
      </c>
      <c r="D168" s="14" t="inlineStr">
        <is>
          <t>Browser viewport active</t>
        </is>
      </c>
      <c r="E168" s="14" t="inlineStr">
        <is>
          <t>1. Open login page
2. Inspect CSS styles, computed layout, and DOM structure of Responsive padding at 1920x1080</t>
        </is>
      </c>
      <c r="F168" s="14" t="inlineStr">
        <is>
          <t>Target_Element=Responsive padding at 1920x1080</t>
        </is>
      </c>
      <c r="G168" s="14" t="inlineStr">
        <is>
          <t>Element satisfies design specification. Layout centered with adequate margin.</t>
        </is>
      </c>
      <c r="H168" s="13" t="inlineStr">
        <is>
          <t>Manual</t>
        </is>
      </c>
      <c r="I168" s="13" t="inlineStr">
        <is>
          <t>P3</t>
        </is>
      </c>
      <c r="J168" s="13" t="inlineStr">
        <is>
          <t>Low</t>
        </is>
      </c>
      <c r="K168" s="15" t="inlineStr">
        <is>
          <t>AUTOMATED</t>
        </is>
      </c>
    </row>
    <row r="169" ht="20" customHeight="1">
      <c r="A169" s="16" t="inlineStr">
        <is>
          <t>TC_LOG_168</t>
        </is>
      </c>
      <c r="B169" s="17" t="inlineStr">
        <is>
          <t>UI &amp; UX Layout Verification</t>
        </is>
      </c>
      <c r="C169" s="17" t="inlineStr">
        <is>
          <t>Verify UI rendering of Responsive padding at 1366x768</t>
        </is>
      </c>
      <c r="D169" s="17" t="inlineStr">
        <is>
          <t>Browser viewport active</t>
        </is>
      </c>
      <c r="E169" s="17" t="inlineStr">
        <is>
          <t>1. Open login page
2. Inspect CSS styles, computed layout, and DOM structure of Responsive padding at 1366x768</t>
        </is>
      </c>
      <c r="F169" s="17" t="inlineStr">
        <is>
          <t>Target_Element=Responsive padding at 1366x768</t>
        </is>
      </c>
      <c r="G169" s="17" t="inlineStr">
        <is>
          <t>Element satisfies design specification. Layout adjusts without horizontal scrollbar.</t>
        </is>
      </c>
      <c r="H169" s="16" t="inlineStr">
        <is>
          <t>Manual</t>
        </is>
      </c>
      <c r="I169" s="16" t="inlineStr">
        <is>
          <t>P3</t>
        </is>
      </c>
      <c r="J169" s="16" t="inlineStr">
        <is>
          <t>Low</t>
        </is>
      </c>
      <c r="K169" s="15" t="inlineStr">
        <is>
          <t>AUTOMATED</t>
        </is>
      </c>
    </row>
    <row r="170" ht="20" customHeight="1">
      <c r="A170" s="13" t="inlineStr">
        <is>
          <t>TC_LOG_169</t>
        </is>
      </c>
      <c r="B170" s="14" t="inlineStr">
        <is>
          <t>UI &amp; UX Layout Verification</t>
        </is>
      </c>
      <c r="C170" s="14" t="inlineStr">
        <is>
          <t>Verify UI rendering of Responsive padding at 768x1024</t>
        </is>
      </c>
      <c r="D170" s="14" t="inlineStr">
        <is>
          <t>Browser viewport active</t>
        </is>
      </c>
      <c r="E170" s="14" t="inlineStr">
        <is>
          <t>1. Open login page
2. Inspect CSS styles, computed layout, and DOM structure of Responsive padding at 768x1024</t>
        </is>
      </c>
      <c r="F170" s="14" t="inlineStr">
        <is>
          <t>Target_Element=Responsive padding at 768x1024</t>
        </is>
      </c>
      <c r="G170" s="14" t="inlineStr">
        <is>
          <t>Element satisfies design specification. Layout adjusts to tablet viewport.</t>
        </is>
      </c>
      <c r="H170" s="13" t="inlineStr">
        <is>
          <t>Manual</t>
        </is>
      </c>
      <c r="I170" s="13" t="inlineStr">
        <is>
          <t>P3</t>
        </is>
      </c>
      <c r="J170" s="13" t="inlineStr">
        <is>
          <t>Low</t>
        </is>
      </c>
      <c r="K170" s="15" t="inlineStr">
        <is>
          <t>AUTOMATED</t>
        </is>
      </c>
    </row>
    <row r="171" ht="20" customHeight="1">
      <c r="A171" s="16" t="inlineStr">
        <is>
          <t>TC_LOG_170</t>
        </is>
      </c>
      <c r="B171" s="17" t="inlineStr">
        <is>
          <t>UI &amp; UX Layout Verification</t>
        </is>
      </c>
      <c r="C171" s="17" t="inlineStr">
        <is>
          <t>Verify UI rendering of Responsive padding at 375x812</t>
        </is>
      </c>
      <c r="D171" s="17" t="inlineStr">
        <is>
          <t>Browser viewport active</t>
        </is>
      </c>
      <c r="E171" s="17" t="inlineStr">
        <is>
          <t>1. Open login page
2. Inspect CSS styles, computed layout, and DOM structure of Responsive padding at 375x812</t>
        </is>
      </c>
      <c r="F171" s="17" t="inlineStr">
        <is>
          <t>Target_Element=Responsive padding at 375x812</t>
        </is>
      </c>
      <c r="G171" s="17" t="inlineStr">
        <is>
          <t>Element satisfies design specification. Layout stacks vertically on mobile viewport.</t>
        </is>
      </c>
      <c r="H171" s="16" t="inlineStr">
        <is>
          <t>Manual</t>
        </is>
      </c>
      <c r="I171" s="16" t="inlineStr">
        <is>
          <t>P3</t>
        </is>
      </c>
      <c r="J171" s="16" t="inlineStr">
        <is>
          <t>Low</t>
        </is>
      </c>
      <c r="K171" s="15" t="inlineStr">
        <is>
          <t>AUTOMATED</t>
        </is>
      </c>
    </row>
    <row r="172" ht="20" customHeight="1">
      <c r="A172" s="13" t="inlineStr">
        <is>
          <t>TC_LOG_171</t>
        </is>
      </c>
      <c r="B172" s="14" t="inlineStr">
        <is>
          <t>UI &amp; UX Layout Verification</t>
        </is>
      </c>
      <c r="C172" s="14" t="inlineStr">
        <is>
          <t>Verify UI rendering of Hover effect on Submit button</t>
        </is>
      </c>
      <c r="D172" s="14" t="inlineStr">
        <is>
          <t>Browser viewport active</t>
        </is>
      </c>
      <c r="E172" s="14" t="inlineStr">
        <is>
          <t>1. Open login page
2. Inspect CSS styles, computed layout, and DOM structure of Hover effect on Submit button</t>
        </is>
      </c>
      <c r="F172" s="14" t="inlineStr">
        <is>
          <t>Target_Element=Hover effect on Submit button</t>
        </is>
      </c>
      <c r="G172" s="14" t="inlineStr">
        <is>
          <t>Element satisfies design specification. Button background color darkens on cursor hover.</t>
        </is>
      </c>
      <c r="H172" s="13" t="inlineStr">
        <is>
          <t>Manual</t>
        </is>
      </c>
      <c r="I172" s="13" t="inlineStr">
        <is>
          <t>P3</t>
        </is>
      </c>
      <c r="J172" s="13" t="inlineStr">
        <is>
          <t>Low</t>
        </is>
      </c>
      <c r="K172" s="15" t="inlineStr">
        <is>
          <t>AUTOMATED</t>
        </is>
      </c>
    </row>
    <row r="173" ht="20" customHeight="1">
      <c r="A173" s="16" t="inlineStr">
        <is>
          <t>TC_LOG_172</t>
        </is>
      </c>
      <c r="B173" s="17" t="inlineStr">
        <is>
          <t>UI &amp; UX Layout Verification</t>
        </is>
      </c>
      <c r="C173" s="17" t="inlineStr">
        <is>
          <t>Verify UI rendering of Cursor pointer on links</t>
        </is>
      </c>
      <c r="D173" s="17" t="inlineStr">
        <is>
          <t>Browser viewport active</t>
        </is>
      </c>
      <c r="E173" s="17" t="inlineStr">
        <is>
          <t>1. Open login page
2. Inspect CSS styles, computed layout, and DOM structure of Cursor pointer on links</t>
        </is>
      </c>
      <c r="F173" s="17" t="inlineStr">
        <is>
          <t>Target_Element=Cursor pointer on links</t>
        </is>
      </c>
      <c r="G173" s="17" t="inlineStr">
        <is>
          <t>Element satisfies design specification. Cursor changes to pointer hand over links.</t>
        </is>
      </c>
      <c r="H173" s="16" t="inlineStr">
        <is>
          <t>Manual</t>
        </is>
      </c>
      <c r="I173" s="16" t="inlineStr">
        <is>
          <t>P3</t>
        </is>
      </c>
      <c r="J173" s="16" t="inlineStr">
        <is>
          <t>Low</t>
        </is>
      </c>
      <c r="K173" s="15" t="inlineStr">
        <is>
          <t>AUTOMATED</t>
        </is>
      </c>
    </row>
    <row r="174" ht="20" customHeight="1">
      <c r="A174" s="13" t="inlineStr">
        <is>
          <t>TC_LOG_173</t>
        </is>
      </c>
      <c r="B174" s="14" t="inlineStr">
        <is>
          <t>UI &amp; UX Layout Verification</t>
        </is>
      </c>
      <c r="C174" s="14" t="inlineStr">
        <is>
          <t>Verify UI rendering of AutoComplete attribute setting</t>
        </is>
      </c>
      <c r="D174" s="14" t="inlineStr">
        <is>
          <t>Browser viewport active</t>
        </is>
      </c>
      <c r="E174" s="14" t="inlineStr">
        <is>
          <t>1. Open login page
2. Inspect CSS styles, computed layout, and DOM structure of AutoComplete attribute setting</t>
        </is>
      </c>
      <c r="F174" s="14" t="inlineStr">
        <is>
          <t>Target_Element=AutoComplete attribute setting</t>
        </is>
      </c>
      <c r="G174" s="14" t="inlineStr">
        <is>
          <t>Element satisfies design specification. Username has autocomplete='username' tag.</t>
        </is>
      </c>
      <c r="H174" s="13" t="inlineStr">
        <is>
          <t>Manual</t>
        </is>
      </c>
      <c r="I174" s="13" t="inlineStr">
        <is>
          <t>P3</t>
        </is>
      </c>
      <c r="J174" s="13" t="inlineStr">
        <is>
          <t>Low</t>
        </is>
      </c>
      <c r="K174" s="15" t="inlineStr">
        <is>
          <t>AUTOMATED</t>
        </is>
      </c>
    </row>
    <row r="175" ht="20" customHeight="1">
      <c r="A175" s="16" t="inlineStr">
        <is>
          <t>TC_LOG_174</t>
        </is>
      </c>
      <c r="B175" s="17" t="inlineStr">
        <is>
          <t>UI &amp; UX Layout Verification</t>
        </is>
      </c>
      <c r="C175" s="17" t="inlineStr">
        <is>
          <t>Verify UI rendering of Form action attribute</t>
        </is>
      </c>
      <c r="D175" s="17" t="inlineStr">
        <is>
          <t>Browser viewport active</t>
        </is>
      </c>
      <c r="E175" s="17" t="inlineStr">
        <is>
          <t>1. Open login page
2. Inspect CSS styles, computed layout, and DOM structure of Form action attribute</t>
        </is>
      </c>
      <c r="F175" s="17" t="inlineStr">
        <is>
          <t>Target_Element=Form action attribute</t>
        </is>
      </c>
      <c r="G175" s="17" t="inlineStr">
        <is>
          <t>Element satisfies design specification. Form posts directly to /auth/login route.</t>
        </is>
      </c>
      <c r="H175" s="16" t="inlineStr">
        <is>
          <t>Manual</t>
        </is>
      </c>
      <c r="I175" s="16" t="inlineStr">
        <is>
          <t>P3</t>
        </is>
      </c>
      <c r="J175" s="16" t="inlineStr">
        <is>
          <t>Low</t>
        </is>
      </c>
      <c r="K175" s="15" t="inlineStr">
        <is>
          <t>AUTOMATED</t>
        </is>
      </c>
    </row>
    <row r="176" ht="20" customHeight="1">
      <c r="A176" s="13" t="inlineStr">
        <is>
          <t>TC_LOG_175</t>
        </is>
      </c>
      <c r="B176" s="14" t="inlineStr">
        <is>
          <t>UI &amp; UX Layout Verification</t>
        </is>
      </c>
      <c r="C176" s="14" t="inlineStr">
        <is>
          <t>Verify UI rendering of HTML5 semantic elements</t>
        </is>
      </c>
      <c r="D176" s="14" t="inlineStr">
        <is>
          <t>Browser viewport active</t>
        </is>
      </c>
      <c r="E176" s="14" t="inlineStr">
        <is>
          <t>1. Open login page
2. Inspect CSS styles, computed layout, and DOM structure of HTML5 semantic elements</t>
        </is>
      </c>
      <c r="F176" s="14" t="inlineStr">
        <is>
          <t>Target_Element=HTML5 semantic elements</t>
        </is>
      </c>
      <c r="G176" s="14" t="inlineStr">
        <is>
          <t>Element satisfies design specification. Uses &lt;form&gt;, &lt;input&gt;, &lt;button&gt;, &lt;label&gt; tags properly.</t>
        </is>
      </c>
      <c r="H176" s="13" t="inlineStr">
        <is>
          <t>Manual</t>
        </is>
      </c>
      <c r="I176" s="13" t="inlineStr">
        <is>
          <t>P3</t>
        </is>
      </c>
      <c r="J176" s="13" t="inlineStr">
        <is>
          <t>Low</t>
        </is>
      </c>
      <c r="K176" s="15" t="inlineStr">
        <is>
          <t>AUTOMATED</t>
        </is>
      </c>
    </row>
    <row r="177" ht="20" customHeight="1">
      <c r="A177" s="16" t="inlineStr">
        <is>
          <t>TC_LOG_176</t>
        </is>
      </c>
      <c r="B177" s="17" t="inlineStr">
        <is>
          <t>Session Management &amp; Persistence</t>
        </is>
      </c>
      <c r="C177" s="17" t="inlineStr">
        <is>
          <t>Verify Session cookie creation on successful login</t>
        </is>
      </c>
      <c r="D177" s="17" t="inlineStr">
        <is>
          <t>Active backend application server with session middleware</t>
        </is>
      </c>
      <c r="E177" s="17" t="inlineStr">
        <is>
          <t>1. Execute authentication sequence
2. Perform session operation (Session cookie creation on successful login)
3. Inspect cookies &amp; response redirect</t>
        </is>
      </c>
      <c r="F177" s="17" t="inlineStr">
        <is>
          <t>Session_Test=Session cookie creation on successful login</t>
        </is>
      </c>
      <c r="G177" s="17" t="inlineStr">
        <is>
          <t>Session behaves securely. Expected: Sets secure HTTP-Only session cookie.</t>
        </is>
      </c>
      <c r="H177" s="16" t="inlineStr">
        <is>
          <t>Automated (Selenium)</t>
        </is>
      </c>
      <c r="I177" s="16" t="inlineStr">
        <is>
          <t>P1</t>
        </is>
      </c>
      <c r="J177" s="16" t="inlineStr">
        <is>
          <t>High</t>
        </is>
      </c>
      <c r="K177" s="15" t="inlineStr">
        <is>
          <t>PASSED</t>
        </is>
      </c>
    </row>
    <row r="178" ht="20" customHeight="1">
      <c r="A178" s="13" t="inlineStr">
        <is>
          <t>TC_LOG_177</t>
        </is>
      </c>
      <c r="B178" s="14" t="inlineStr">
        <is>
          <t>Session Management &amp; Persistence</t>
        </is>
      </c>
      <c r="C178" s="14" t="inlineStr">
        <is>
          <t>Verify Session cookie destruction on logout</t>
        </is>
      </c>
      <c r="D178" s="14" t="inlineStr">
        <is>
          <t>Active backend application server with session middleware</t>
        </is>
      </c>
      <c r="E178" s="14" t="inlineStr">
        <is>
          <t>1. Execute authentication sequence
2. Perform session operation (Session cookie destruction on logout)
3. Inspect cookies &amp; response redirect</t>
        </is>
      </c>
      <c r="F178" s="14" t="inlineStr">
        <is>
          <t>Session_Test=Session cookie destruction on logout</t>
        </is>
      </c>
      <c r="G178" s="14" t="inlineStr">
        <is>
          <t>Session behaves securely. Expected: Clears session cookie upon clicking logout.</t>
        </is>
      </c>
      <c r="H178" s="13" t="inlineStr">
        <is>
          <t>Automated (Selenium)</t>
        </is>
      </c>
      <c r="I178" s="13" t="inlineStr">
        <is>
          <t>P1</t>
        </is>
      </c>
      <c r="J178" s="13" t="inlineStr">
        <is>
          <t>High</t>
        </is>
      </c>
      <c r="K178" s="15" t="inlineStr">
        <is>
          <t>PASSED</t>
        </is>
      </c>
    </row>
    <row r="179" ht="20" customHeight="1">
      <c r="A179" s="16" t="inlineStr">
        <is>
          <t>TC_LOG_178</t>
        </is>
      </c>
      <c r="B179" s="17" t="inlineStr">
        <is>
          <t>Session Management &amp; Persistence</t>
        </is>
      </c>
      <c r="C179" s="17" t="inlineStr">
        <is>
          <t>Verify Protected route redirect when unauthenticated</t>
        </is>
      </c>
      <c r="D179" s="17" t="inlineStr">
        <is>
          <t>Active backend application server with session middleware</t>
        </is>
      </c>
      <c r="E179" s="17" t="inlineStr">
        <is>
          <t>1. Execute authentication sequence
2. Perform session operation (Protected route redirect when unauthenticated)
3. Inspect cookies &amp; response redirect</t>
        </is>
      </c>
      <c r="F179" s="17" t="inlineStr">
        <is>
          <t>Session_Test=Protected route redirect when unauthenticated</t>
        </is>
      </c>
      <c r="G179" s="17" t="inlineStr">
        <is>
          <t>Session behaves securely. Expected: Accessing /api/dashboard redirects to /auth/login.</t>
        </is>
      </c>
      <c r="H179" s="16" t="inlineStr">
        <is>
          <t>Automated (Selenium)</t>
        </is>
      </c>
      <c r="I179" s="16" t="inlineStr">
        <is>
          <t>P1</t>
        </is>
      </c>
      <c r="J179" s="16" t="inlineStr">
        <is>
          <t>High</t>
        </is>
      </c>
      <c r="K179" s="15" t="inlineStr">
        <is>
          <t>PASSED</t>
        </is>
      </c>
    </row>
    <row r="180" ht="20" customHeight="1">
      <c r="A180" s="13" t="inlineStr">
        <is>
          <t>TC_LOG_179</t>
        </is>
      </c>
      <c r="B180" s="14" t="inlineStr">
        <is>
          <t>Session Management &amp; Persistence</t>
        </is>
      </c>
      <c r="C180" s="14" t="inlineStr">
        <is>
          <t>Verify Accessing /auth/login while already logged in</t>
        </is>
      </c>
      <c r="D180" s="14" t="inlineStr">
        <is>
          <t>Active backend application server with session middleware</t>
        </is>
      </c>
      <c r="E180" s="14" t="inlineStr">
        <is>
          <t>1. Execute authentication sequence
2. Perform session operation (Accessing /auth/login while already logged in)
3. Inspect cookies &amp; response redirect</t>
        </is>
      </c>
      <c r="F180" s="14" t="inlineStr">
        <is>
          <t>Session_Test=Accessing /auth/login while already logged in</t>
        </is>
      </c>
      <c r="G180" s="14" t="inlineStr">
        <is>
          <t>Session behaves securely. Expected: Redirects automatically to /api/dashboard.</t>
        </is>
      </c>
      <c r="H180" s="13" t="inlineStr">
        <is>
          <t>Automated (Selenium)</t>
        </is>
      </c>
      <c r="I180" s="13" t="inlineStr">
        <is>
          <t>P1</t>
        </is>
      </c>
      <c r="J180" s="13" t="inlineStr">
        <is>
          <t>High</t>
        </is>
      </c>
      <c r="K180" s="15" t="inlineStr">
        <is>
          <t>PASSED</t>
        </is>
      </c>
    </row>
    <row r="181" ht="20" customHeight="1">
      <c r="A181" s="16" t="inlineStr">
        <is>
          <t>TC_LOG_180</t>
        </is>
      </c>
      <c r="B181" s="17" t="inlineStr">
        <is>
          <t>Session Management &amp; Persistence</t>
        </is>
      </c>
      <c r="C181" s="17" t="inlineStr">
        <is>
          <t>Verify Session timeout after inactivity period</t>
        </is>
      </c>
      <c r="D181" s="17" t="inlineStr">
        <is>
          <t>Active backend application server with session middleware</t>
        </is>
      </c>
      <c r="E181" s="17" t="inlineStr">
        <is>
          <t>1. Execute authentication sequence
2. Perform session operation (Session timeout after inactivity period)
3. Inspect cookies &amp; response redirect</t>
        </is>
      </c>
      <c r="F181" s="17" t="inlineStr">
        <is>
          <t>Session_Test=Session timeout after inactivity period</t>
        </is>
      </c>
      <c r="G181" s="17" t="inlineStr">
        <is>
          <t>Session behaves securely. Expected: Session expires automatically after timeout period.</t>
        </is>
      </c>
      <c r="H181" s="16" t="inlineStr">
        <is>
          <t>Automated (Selenium)</t>
        </is>
      </c>
      <c r="I181" s="16" t="inlineStr">
        <is>
          <t>P1</t>
        </is>
      </c>
      <c r="J181" s="16" t="inlineStr">
        <is>
          <t>High</t>
        </is>
      </c>
      <c r="K181" s="15" t="inlineStr">
        <is>
          <t>PASSED</t>
        </is>
      </c>
    </row>
    <row r="182" ht="20" customHeight="1">
      <c r="A182" s="13" t="inlineStr">
        <is>
          <t>TC_LOG_181</t>
        </is>
      </c>
      <c r="B182" s="14" t="inlineStr">
        <is>
          <t>Session Management &amp; Persistence</t>
        </is>
      </c>
      <c r="C182" s="14" t="inlineStr">
        <is>
          <t>Verify Remember Me cookie persistence across browser restart</t>
        </is>
      </c>
      <c r="D182" s="14" t="inlineStr">
        <is>
          <t>Active backend application server with session middleware</t>
        </is>
      </c>
      <c r="E182" s="14" t="inlineStr">
        <is>
          <t>1. Execute authentication sequence
2. Perform session operation (Remember Me cookie persistence across browser restart)
3. Inspect cookies &amp; response redirect</t>
        </is>
      </c>
      <c r="F182" s="14" t="inlineStr">
        <is>
          <t>Session_Test=Remember Me cookie persistence across browser restart</t>
        </is>
      </c>
      <c r="G182" s="14" t="inlineStr">
        <is>
          <t>Session behaves securely. Expected: User stays authenticated after closing/reopening browser.</t>
        </is>
      </c>
      <c r="H182" s="13" t="inlineStr">
        <is>
          <t>Automated (Selenium)</t>
        </is>
      </c>
      <c r="I182" s="13" t="inlineStr">
        <is>
          <t>P1</t>
        </is>
      </c>
      <c r="J182" s="13" t="inlineStr">
        <is>
          <t>High</t>
        </is>
      </c>
      <c r="K182" s="15" t="inlineStr">
        <is>
          <t>PASSED</t>
        </is>
      </c>
    </row>
    <row r="183" ht="20" customHeight="1">
      <c r="A183" s="16" t="inlineStr">
        <is>
          <t>TC_LOG_182</t>
        </is>
      </c>
      <c r="B183" s="17" t="inlineStr">
        <is>
          <t>Session Management &amp; Persistence</t>
        </is>
      </c>
      <c r="C183" s="17" t="inlineStr">
        <is>
          <t>Verify Concurrent login detection on separate browser</t>
        </is>
      </c>
      <c r="D183" s="17" t="inlineStr">
        <is>
          <t>Active backend application server with session middleware</t>
        </is>
      </c>
      <c r="E183" s="17" t="inlineStr">
        <is>
          <t>1. Execute authentication sequence
2. Perform session operation (Concurrent login detection on separate browser)
3. Inspect cookies &amp; response redirect</t>
        </is>
      </c>
      <c r="F183" s="17" t="inlineStr">
        <is>
          <t>Session_Test=Concurrent login detection on separate browser</t>
        </is>
      </c>
      <c r="G183" s="17" t="inlineStr">
        <is>
          <t>Session behaves securely. Expected: Handles multiple active sessions gracefully.</t>
        </is>
      </c>
      <c r="H183" s="16" t="inlineStr">
        <is>
          <t>Automated (Selenium)</t>
        </is>
      </c>
      <c r="I183" s="16" t="inlineStr">
        <is>
          <t>P1</t>
        </is>
      </c>
      <c r="J183" s="16" t="inlineStr">
        <is>
          <t>High</t>
        </is>
      </c>
      <c r="K183" s="15" t="inlineStr">
        <is>
          <t>PASSED</t>
        </is>
      </c>
    </row>
    <row r="184" ht="20" customHeight="1">
      <c r="A184" s="13" t="inlineStr">
        <is>
          <t>TC_LOG_183</t>
        </is>
      </c>
      <c r="B184" s="14" t="inlineStr">
        <is>
          <t>Session Management &amp; Persistence</t>
        </is>
      </c>
      <c r="C184" s="14" t="inlineStr">
        <is>
          <t>Verify Prevent session fixation attack</t>
        </is>
      </c>
      <c r="D184" s="14" t="inlineStr">
        <is>
          <t>Active backend application server with session middleware</t>
        </is>
      </c>
      <c r="E184" s="14" t="inlineStr">
        <is>
          <t>1. Execute authentication sequence
2. Perform session operation (Prevent session fixation attack)
3. Inspect cookies &amp; response redirect</t>
        </is>
      </c>
      <c r="F184" s="14" t="inlineStr">
        <is>
          <t>Session_Test=Prevent session fixation attack</t>
        </is>
      </c>
      <c r="G184" s="14" t="inlineStr">
        <is>
          <t>Session behaves securely. Expected: Regenerates session ID upon successful login.</t>
        </is>
      </c>
      <c r="H184" s="13" t="inlineStr">
        <is>
          <t>Automated (Selenium)</t>
        </is>
      </c>
      <c r="I184" s="13" t="inlineStr">
        <is>
          <t>P1</t>
        </is>
      </c>
      <c r="J184" s="13" t="inlineStr">
        <is>
          <t>High</t>
        </is>
      </c>
      <c r="K184" s="15" t="inlineStr">
        <is>
          <t>PASSED</t>
        </is>
      </c>
    </row>
    <row r="185" ht="20" customHeight="1">
      <c r="A185" s="16" t="inlineStr">
        <is>
          <t>TC_LOG_184</t>
        </is>
      </c>
      <c r="B185" s="17" t="inlineStr">
        <is>
          <t>Session Management &amp; Persistence</t>
        </is>
      </c>
      <c r="C185" s="17" t="inlineStr">
        <is>
          <t>Verify Cookie SameSite attribute setting</t>
        </is>
      </c>
      <c r="D185" s="17" t="inlineStr">
        <is>
          <t>Active backend application server with session middleware</t>
        </is>
      </c>
      <c r="E185" s="17" t="inlineStr">
        <is>
          <t>1. Execute authentication sequence
2. Perform session operation (Cookie SameSite attribute setting)
3. Inspect cookies &amp; response redirect</t>
        </is>
      </c>
      <c r="F185" s="17" t="inlineStr">
        <is>
          <t>Session_Test=Cookie SameSite attribute setting</t>
        </is>
      </c>
      <c r="G185" s="17" t="inlineStr">
        <is>
          <t>Session behaves securely. Expected: Session cookie has SameSite=Lax or Strict attribute.</t>
        </is>
      </c>
      <c r="H185" s="16" t="inlineStr">
        <is>
          <t>Automated (Selenium)</t>
        </is>
      </c>
      <c r="I185" s="16" t="inlineStr">
        <is>
          <t>P1</t>
        </is>
      </c>
      <c r="J185" s="16" t="inlineStr">
        <is>
          <t>High</t>
        </is>
      </c>
      <c r="K185" s="15" t="inlineStr">
        <is>
          <t>PASSED</t>
        </is>
      </c>
    </row>
    <row r="186" ht="20" customHeight="1">
      <c r="A186" s="13" t="inlineStr">
        <is>
          <t>TC_LOG_185</t>
        </is>
      </c>
      <c r="B186" s="14" t="inlineStr">
        <is>
          <t>Session Management &amp; Persistence</t>
        </is>
      </c>
      <c r="C186" s="14" t="inlineStr">
        <is>
          <t>Verify Cookie Secure flag enforcement</t>
        </is>
      </c>
      <c r="D186" s="14" t="inlineStr">
        <is>
          <t>Active backend application server with session middleware</t>
        </is>
      </c>
      <c r="E186" s="14" t="inlineStr">
        <is>
          <t>1. Execute authentication sequence
2. Perform session operation (Cookie Secure flag enforcement)
3. Inspect cookies &amp; response redirect</t>
        </is>
      </c>
      <c r="F186" s="14" t="inlineStr">
        <is>
          <t>Session_Test=Cookie Secure flag enforcement</t>
        </is>
      </c>
      <c r="G186" s="14" t="inlineStr">
        <is>
          <t>Session behaves securely. Expected: Cookie has Secure flag enabled in HTTPS mode.</t>
        </is>
      </c>
      <c r="H186" s="13" t="inlineStr">
        <is>
          <t>Automated (Selenium)</t>
        </is>
      </c>
      <c r="I186" s="13" t="inlineStr">
        <is>
          <t>P1</t>
        </is>
      </c>
      <c r="J186" s="13" t="inlineStr">
        <is>
          <t>High</t>
        </is>
      </c>
      <c r="K186" s="15" t="inlineStr">
        <is>
          <t>PASSED</t>
        </is>
      </c>
    </row>
    <row r="187" ht="20" customHeight="1">
      <c r="A187" s="16" t="inlineStr">
        <is>
          <t>TC_LOG_186</t>
        </is>
      </c>
      <c r="B187" s="17" t="inlineStr">
        <is>
          <t>Session Management &amp; Persistence</t>
        </is>
      </c>
      <c r="C187" s="17" t="inlineStr">
        <is>
          <t>Verify Cookie HttpOnly flag enforcement</t>
        </is>
      </c>
      <c r="D187" s="17" t="inlineStr">
        <is>
          <t>Active backend application server with session middleware</t>
        </is>
      </c>
      <c r="E187" s="17" t="inlineStr">
        <is>
          <t>1. Execute authentication sequence
2. Perform session operation (Cookie HttpOnly flag enforcement)
3. Inspect cookies &amp; response redirect</t>
        </is>
      </c>
      <c r="F187" s="17" t="inlineStr">
        <is>
          <t>Session_Test=Cookie HttpOnly flag enforcement</t>
        </is>
      </c>
      <c r="G187" s="17" t="inlineStr">
        <is>
          <t>Session behaves securely. Expected: Cookie JavaScript document.cookie access disabled.</t>
        </is>
      </c>
      <c r="H187" s="16" t="inlineStr">
        <is>
          <t>Automated (Selenium)</t>
        </is>
      </c>
      <c r="I187" s="16" t="inlineStr">
        <is>
          <t>P1</t>
        </is>
      </c>
      <c r="J187" s="16" t="inlineStr">
        <is>
          <t>High</t>
        </is>
      </c>
      <c r="K187" s="15" t="inlineStr">
        <is>
          <t>PASSED</t>
        </is>
      </c>
    </row>
    <row r="188" ht="20" customHeight="1">
      <c r="A188" s="13" t="inlineStr">
        <is>
          <t>TC_LOG_187</t>
        </is>
      </c>
      <c r="B188" s="14" t="inlineStr">
        <is>
          <t>Session Management &amp; Persistence</t>
        </is>
      </c>
      <c r="C188" s="14" t="inlineStr">
        <is>
          <t>Verify Session termination on password change</t>
        </is>
      </c>
      <c r="D188" s="14" t="inlineStr">
        <is>
          <t>Active backend application server with session middleware</t>
        </is>
      </c>
      <c r="E188" s="14" t="inlineStr">
        <is>
          <t>1. Execute authentication sequence
2. Perform session operation (Session termination on password change)
3. Inspect cookies &amp; response redirect</t>
        </is>
      </c>
      <c r="F188" s="14" t="inlineStr">
        <is>
          <t>Session_Test=Session termination on password change</t>
        </is>
      </c>
      <c r="G188" s="14" t="inlineStr">
        <is>
          <t>Session behaves securely. Expected: Invalidates older session tokens upon password reset.</t>
        </is>
      </c>
      <c r="H188" s="13" t="inlineStr">
        <is>
          <t>Automated (Selenium)</t>
        </is>
      </c>
      <c r="I188" s="13" t="inlineStr">
        <is>
          <t>P1</t>
        </is>
      </c>
      <c r="J188" s="13" t="inlineStr">
        <is>
          <t>High</t>
        </is>
      </c>
      <c r="K188" s="15" t="inlineStr">
        <is>
          <t>PASSED</t>
        </is>
      </c>
    </row>
    <row r="189" ht="20" customHeight="1">
      <c r="A189" s="16" t="inlineStr">
        <is>
          <t>TC_LOG_188</t>
        </is>
      </c>
      <c r="B189" s="17" t="inlineStr">
        <is>
          <t>Session Management &amp; Persistence</t>
        </is>
      </c>
      <c r="C189" s="17" t="inlineStr">
        <is>
          <t>Verify Multi-tab session synchronization</t>
        </is>
      </c>
      <c r="D189" s="17" t="inlineStr">
        <is>
          <t>Active backend application server with session middleware</t>
        </is>
      </c>
      <c r="E189" s="17" t="inlineStr">
        <is>
          <t>1. Execute authentication sequence
2. Perform session operation (Multi-tab session synchronization)
3. Inspect cookies &amp; response redirect</t>
        </is>
      </c>
      <c r="F189" s="17" t="inlineStr">
        <is>
          <t>Session_Test=Multi-tab session synchronization</t>
        </is>
      </c>
      <c r="G189" s="17" t="inlineStr">
        <is>
          <t>Session behaves securely. Expected: Logging out in Tab A logs out user in Tab B upon refresh.</t>
        </is>
      </c>
      <c r="H189" s="16" t="inlineStr">
        <is>
          <t>Automated (Selenium)</t>
        </is>
      </c>
      <c r="I189" s="16" t="inlineStr">
        <is>
          <t>P2</t>
        </is>
      </c>
      <c r="J189" s="16" t="inlineStr">
        <is>
          <t>Medium</t>
        </is>
      </c>
      <c r="K189" s="15" t="inlineStr">
        <is>
          <t>PASSED</t>
        </is>
      </c>
    </row>
    <row r="190" ht="20" customHeight="1">
      <c r="A190" s="13" t="inlineStr">
        <is>
          <t>TC_LOG_189</t>
        </is>
      </c>
      <c r="B190" s="14" t="inlineStr">
        <is>
          <t>Session Management &amp; Persistence</t>
        </is>
      </c>
      <c r="C190" s="14" t="inlineStr">
        <is>
          <t>Verify Session restoration after unexpected server restart</t>
        </is>
      </c>
      <c r="D190" s="14" t="inlineStr">
        <is>
          <t>Active backend application server with session middleware</t>
        </is>
      </c>
      <c r="E190" s="14" t="inlineStr">
        <is>
          <t>1. Execute authentication sequence
2. Perform session operation (Session restoration after unexpected server restart)
3. Inspect cookies &amp; response redirect</t>
        </is>
      </c>
      <c r="F190" s="14" t="inlineStr">
        <is>
          <t>Session_Test=Session restoration after unexpected server restart</t>
        </is>
      </c>
      <c r="G190" s="14" t="inlineStr">
        <is>
          <t>Session behaves securely. Expected: DB session persistence retains operator state.</t>
        </is>
      </c>
      <c r="H190" s="13" t="inlineStr">
        <is>
          <t>Automated (Selenium)</t>
        </is>
      </c>
      <c r="I190" s="13" t="inlineStr">
        <is>
          <t>P2</t>
        </is>
      </c>
      <c r="J190" s="13" t="inlineStr">
        <is>
          <t>Medium</t>
        </is>
      </c>
      <c r="K190" s="15" t="inlineStr">
        <is>
          <t>PASSED</t>
        </is>
      </c>
    </row>
    <row r="191" ht="20" customHeight="1">
      <c r="A191" s="16" t="inlineStr">
        <is>
          <t>TC_LOG_190</t>
        </is>
      </c>
      <c r="B191" s="17" t="inlineStr">
        <is>
          <t>Session Management &amp; Persistence</t>
        </is>
      </c>
      <c r="C191" s="17" t="inlineStr">
        <is>
          <t>Verify Token refresh mechanism validation</t>
        </is>
      </c>
      <c r="D191" s="17" t="inlineStr">
        <is>
          <t>Active backend application server with session middleware</t>
        </is>
      </c>
      <c r="E191" s="17" t="inlineStr">
        <is>
          <t>1. Execute authentication sequence
2. Perform session operation (Token refresh mechanism validation)
3. Inspect cookies &amp; response redirect</t>
        </is>
      </c>
      <c r="F191" s="17" t="inlineStr">
        <is>
          <t>Session_Test=Token refresh mechanism validation</t>
        </is>
      </c>
      <c r="G191" s="17" t="inlineStr">
        <is>
          <t>Session behaves securely. Expected: JWT / session token refreshes seamlessly.</t>
        </is>
      </c>
      <c r="H191" s="16" t="inlineStr">
        <is>
          <t>Automated (Selenium)</t>
        </is>
      </c>
      <c r="I191" s="16" t="inlineStr">
        <is>
          <t>P2</t>
        </is>
      </c>
      <c r="J191" s="16" t="inlineStr">
        <is>
          <t>Medium</t>
        </is>
      </c>
      <c r="K191" s="15" t="inlineStr">
        <is>
          <t>PASSED</t>
        </is>
      </c>
    </row>
    <row r="192" ht="20" customHeight="1">
      <c r="A192" s="13" t="inlineStr">
        <is>
          <t>TC_LOG_191</t>
        </is>
      </c>
      <c r="B192" s="14" t="inlineStr">
        <is>
          <t>Session Management &amp; Persistence</t>
        </is>
      </c>
      <c r="C192" s="14" t="inlineStr">
        <is>
          <t>Verify Invalid/Corrupted session cookie handling</t>
        </is>
      </c>
      <c r="D192" s="14" t="inlineStr">
        <is>
          <t>Active backend application server with session middleware</t>
        </is>
      </c>
      <c r="E192" s="14" t="inlineStr">
        <is>
          <t>1. Execute authentication sequence
2. Perform session operation (Invalid/Corrupted session cookie handling)
3. Inspect cookies &amp; response redirect</t>
        </is>
      </c>
      <c r="F192" s="14" t="inlineStr">
        <is>
          <t>Session_Test=Invalid/Corrupted session cookie handling</t>
        </is>
      </c>
      <c r="G192" s="14" t="inlineStr">
        <is>
          <t>Session behaves securely. Expected: Clears invalid cookie and prompts fresh login.</t>
        </is>
      </c>
      <c r="H192" s="13" t="inlineStr">
        <is>
          <t>Automated (Selenium)</t>
        </is>
      </c>
      <c r="I192" s="13" t="inlineStr">
        <is>
          <t>P2</t>
        </is>
      </c>
      <c r="J192" s="13" t="inlineStr">
        <is>
          <t>Medium</t>
        </is>
      </c>
      <c r="K192" s="15" t="inlineStr">
        <is>
          <t>AUTOMATED</t>
        </is>
      </c>
    </row>
    <row r="193" ht="20" customHeight="1">
      <c r="A193" s="16" t="inlineStr">
        <is>
          <t>TC_LOG_192</t>
        </is>
      </c>
      <c r="B193" s="17" t="inlineStr">
        <is>
          <t>Session Management &amp; Persistence</t>
        </is>
      </c>
      <c r="C193" s="17" t="inlineStr">
        <is>
          <t>Verify Browser back button after logout</t>
        </is>
      </c>
      <c r="D193" s="17" t="inlineStr">
        <is>
          <t>Active backend application server with session middleware</t>
        </is>
      </c>
      <c r="E193" s="17" t="inlineStr">
        <is>
          <t>1. Execute authentication sequence
2. Perform session operation (Browser back button after logout)
3. Inspect cookies &amp; response redirect</t>
        </is>
      </c>
      <c r="F193" s="17" t="inlineStr">
        <is>
          <t>Session_Test=Browser back button after logout</t>
        </is>
      </c>
      <c r="G193" s="17" t="inlineStr">
        <is>
          <t>Session behaves securely. Expected: Prevents viewing cached dashboard data via browser Back button.</t>
        </is>
      </c>
      <c r="H193" s="16" t="inlineStr">
        <is>
          <t>Automated (Selenium)</t>
        </is>
      </c>
      <c r="I193" s="16" t="inlineStr">
        <is>
          <t>P2</t>
        </is>
      </c>
      <c r="J193" s="16" t="inlineStr">
        <is>
          <t>Medium</t>
        </is>
      </c>
      <c r="K193" s="15" t="inlineStr">
        <is>
          <t>AUTOMATED</t>
        </is>
      </c>
    </row>
    <row r="194" ht="20" customHeight="1">
      <c r="A194" s="13" t="inlineStr">
        <is>
          <t>TC_LOG_193</t>
        </is>
      </c>
      <c r="B194" s="14" t="inlineStr">
        <is>
          <t>Session Management &amp; Persistence</t>
        </is>
      </c>
      <c r="C194" s="14" t="inlineStr">
        <is>
          <t>Verify Browser back button after login</t>
        </is>
      </c>
      <c r="D194" s="14" t="inlineStr">
        <is>
          <t>Active backend application server with session middleware</t>
        </is>
      </c>
      <c r="E194" s="14" t="inlineStr">
        <is>
          <t>1. Execute authentication sequence
2. Perform session operation (Browser back button after login)
3. Inspect cookies &amp; response redirect</t>
        </is>
      </c>
      <c r="F194" s="14" t="inlineStr">
        <is>
          <t>Session_Test=Browser back button after login</t>
        </is>
      </c>
      <c r="G194" s="14" t="inlineStr">
        <is>
          <t>Session behaves securely. Expected: Prevents re-submitting POST form data without warning.</t>
        </is>
      </c>
      <c r="H194" s="13" t="inlineStr">
        <is>
          <t>Automated (Selenium)</t>
        </is>
      </c>
      <c r="I194" s="13" t="inlineStr">
        <is>
          <t>P2</t>
        </is>
      </c>
      <c r="J194" s="13" t="inlineStr">
        <is>
          <t>Medium</t>
        </is>
      </c>
      <c r="K194" s="15" t="inlineStr">
        <is>
          <t>AUTOMATED</t>
        </is>
      </c>
    </row>
    <row r="195" ht="20" customHeight="1">
      <c r="A195" s="16" t="inlineStr">
        <is>
          <t>TC_LOG_194</t>
        </is>
      </c>
      <c r="B195" s="17" t="inlineStr">
        <is>
          <t>Session Management &amp; Persistence</t>
        </is>
      </c>
      <c r="C195" s="17" t="inlineStr">
        <is>
          <t>Verify Session scope isolation across subdomains</t>
        </is>
      </c>
      <c r="D195" s="17" t="inlineStr">
        <is>
          <t>Active backend application server with session middleware</t>
        </is>
      </c>
      <c r="E195" s="17" t="inlineStr">
        <is>
          <t>1. Execute authentication sequence
2. Perform session operation (Session scope isolation across subdomains)
3. Inspect cookies &amp; response redirect</t>
        </is>
      </c>
      <c r="F195" s="17" t="inlineStr">
        <is>
          <t>Session_Test=Session scope isolation across subdomains</t>
        </is>
      </c>
      <c r="G195" s="17" t="inlineStr">
        <is>
          <t>Session behaves securely. Expected: Session cookie restricted to specified domain path.</t>
        </is>
      </c>
      <c r="H195" s="16" t="inlineStr">
        <is>
          <t>Manual</t>
        </is>
      </c>
      <c r="I195" s="16" t="inlineStr">
        <is>
          <t>P2</t>
        </is>
      </c>
      <c r="J195" s="16" t="inlineStr">
        <is>
          <t>Medium</t>
        </is>
      </c>
      <c r="K195" s="15" t="inlineStr">
        <is>
          <t>AUTOMATED</t>
        </is>
      </c>
    </row>
    <row r="196" ht="20" customHeight="1">
      <c r="A196" s="13" t="inlineStr">
        <is>
          <t>TC_LOG_195</t>
        </is>
      </c>
      <c r="B196" s="14" t="inlineStr">
        <is>
          <t>Session Management &amp; Persistence</t>
        </is>
      </c>
      <c r="C196" s="14" t="inlineStr">
        <is>
          <t>Verify User role authorization check post-login</t>
        </is>
      </c>
      <c r="D196" s="14" t="inlineStr">
        <is>
          <t>Active backend application server with session middleware</t>
        </is>
      </c>
      <c r="E196" s="14" t="inlineStr">
        <is>
          <t>1. Execute authentication sequence
2. Perform session operation (User role authorization check post-login)
3. Inspect cookies &amp; response redirect</t>
        </is>
      </c>
      <c r="F196" s="14" t="inlineStr">
        <is>
          <t>Session_Test=User role authorization check post-login</t>
        </is>
      </c>
      <c r="G196" s="14" t="inlineStr">
        <is>
          <t>Session behaves securely. Expected: Operator assigned correct authorization scope.</t>
        </is>
      </c>
      <c r="H196" s="13" t="inlineStr">
        <is>
          <t>Manual</t>
        </is>
      </c>
      <c r="I196" s="13" t="inlineStr">
        <is>
          <t>P2</t>
        </is>
      </c>
      <c r="J196" s="13" t="inlineStr">
        <is>
          <t>Medium</t>
        </is>
      </c>
      <c r="K196" s="15" t="inlineStr">
        <is>
          <t>AUTOMATED</t>
        </is>
      </c>
    </row>
    <row r="197" ht="20" customHeight="1">
      <c r="A197" s="16" t="inlineStr">
        <is>
          <t>TC_LOG_196</t>
        </is>
      </c>
      <c r="B197" s="17" t="inlineStr">
        <is>
          <t>Session Management &amp; Persistence</t>
        </is>
      </c>
      <c r="C197" s="17" t="inlineStr">
        <is>
          <t>Verify Session audit log generation</t>
        </is>
      </c>
      <c r="D197" s="17" t="inlineStr">
        <is>
          <t>Active backend application server with session middleware</t>
        </is>
      </c>
      <c r="E197" s="17" t="inlineStr">
        <is>
          <t>1. Execute authentication sequence
2. Perform session operation (Session audit log generation)
3. Inspect cookies &amp; response redirect</t>
        </is>
      </c>
      <c r="F197" s="17" t="inlineStr">
        <is>
          <t>Session_Test=Session audit log generation</t>
        </is>
      </c>
      <c r="G197" s="17" t="inlineStr">
        <is>
          <t>Session behaves securely. Expected: Logs successful login event in database APIDataLog table.</t>
        </is>
      </c>
      <c r="H197" s="16" t="inlineStr">
        <is>
          <t>Manual</t>
        </is>
      </c>
      <c r="I197" s="16" t="inlineStr">
        <is>
          <t>P2</t>
        </is>
      </c>
      <c r="J197" s="16" t="inlineStr">
        <is>
          <t>Medium</t>
        </is>
      </c>
      <c r="K197" s="15" t="inlineStr">
        <is>
          <t>AUTOMATED</t>
        </is>
      </c>
    </row>
    <row r="198" ht="20" customHeight="1">
      <c r="A198" s="13" t="inlineStr">
        <is>
          <t>TC_LOG_197</t>
        </is>
      </c>
      <c r="B198" s="14" t="inlineStr">
        <is>
          <t>Session Management &amp; Persistence</t>
        </is>
      </c>
      <c r="C198" s="14" t="inlineStr">
        <is>
          <t>Verify Session failure audit log generation</t>
        </is>
      </c>
      <c r="D198" s="14" t="inlineStr">
        <is>
          <t>Active backend application server with session middleware</t>
        </is>
      </c>
      <c r="E198" s="14" t="inlineStr">
        <is>
          <t>1. Execute authentication sequence
2. Perform session operation (Session failure audit log generation)
3. Inspect cookies &amp; response redirect</t>
        </is>
      </c>
      <c r="F198" s="14" t="inlineStr">
        <is>
          <t>Session_Test=Session failure audit log generation</t>
        </is>
      </c>
      <c r="G198" s="14" t="inlineStr">
        <is>
          <t>Session behaves securely. Expected: Logs failed authentication attempt with IP address.</t>
        </is>
      </c>
      <c r="H198" s="13" t="inlineStr">
        <is>
          <t>Manual</t>
        </is>
      </c>
      <c r="I198" s="13" t="inlineStr">
        <is>
          <t>P2</t>
        </is>
      </c>
      <c r="J198" s="13" t="inlineStr">
        <is>
          <t>Medium</t>
        </is>
      </c>
      <c r="K198" s="15" t="inlineStr">
        <is>
          <t>AUTOMATED</t>
        </is>
      </c>
    </row>
    <row r="199" ht="20" customHeight="1">
      <c r="A199" s="16" t="inlineStr">
        <is>
          <t>TC_LOG_198</t>
        </is>
      </c>
      <c r="B199" s="17" t="inlineStr">
        <is>
          <t>Session Management &amp; Persistence</t>
        </is>
      </c>
      <c r="C199" s="17" t="inlineStr">
        <is>
          <t>Verify Session IP binding validation</t>
        </is>
      </c>
      <c r="D199" s="17" t="inlineStr">
        <is>
          <t>Active backend application server with session middleware</t>
        </is>
      </c>
      <c r="E199" s="17" t="inlineStr">
        <is>
          <t>1. Execute authentication sequence
2. Perform session operation (Session IP binding validation)
3. Inspect cookies &amp; response redirect</t>
        </is>
      </c>
      <c r="F199" s="17" t="inlineStr">
        <is>
          <t>Session_Test=Session IP binding validation</t>
        </is>
      </c>
      <c r="G199" s="17" t="inlineStr">
        <is>
          <t>Session behaves securely. Expected: Alerts or re-authenticates if request IP changes abruptly.</t>
        </is>
      </c>
      <c r="H199" s="16" t="inlineStr">
        <is>
          <t>Manual</t>
        </is>
      </c>
      <c r="I199" s="16" t="inlineStr">
        <is>
          <t>P2</t>
        </is>
      </c>
      <c r="J199" s="16" t="inlineStr">
        <is>
          <t>Medium</t>
        </is>
      </c>
      <c r="K199" s="15" t="inlineStr">
        <is>
          <t>AUTOMATED</t>
        </is>
      </c>
    </row>
    <row r="200" ht="20" customHeight="1">
      <c r="A200" s="13" t="inlineStr">
        <is>
          <t>TC_LOG_199</t>
        </is>
      </c>
      <c r="B200" s="14" t="inlineStr">
        <is>
          <t>Session Management &amp; Persistence</t>
        </is>
      </c>
      <c r="C200" s="14" t="inlineStr">
        <is>
          <t>Verify Session User-Agent verification</t>
        </is>
      </c>
      <c r="D200" s="14" t="inlineStr">
        <is>
          <t>Active backend application server with session middleware</t>
        </is>
      </c>
      <c r="E200" s="14" t="inlineStr">
        <is>
          <t>1. Execute authentication sequence
2. Perform session operation (Session User-Agent verification)
3. Inspect cookies &amp; response redirect</t>
        </is>
      </c>
      <c r="F200" s="14" t="inlineStr">
        <is>
          <t>Session_Test=Session User-Agent verification</t>
        </is>
      </c>
      <c r="G200" s="14" t="inlineStr">
        <is>
          <t>Session behaves securely. Expected: Detects session hijacking attempts from altered User-Agent.</t>
        </is>
      </c>
      <c r="H200" s="13" t="inlineStr">
        <is>
          <t>Manual</t>
        </is>
      </c>
      <c r="I200" s="13" t="inlineStr">
        <is>
          <t>P2</t>
        </is>
      </c>
      <c r="J200" s="13" t="inlineStr">
        <is>
          <t>Medium</t>
        </is>
      </c>
      <c r="K200" s="15" t="inlineStr">
        <is>
          <t>AUTOMATED</t>
        </is>
      </c>
    </row>
    <row r="201" ht="20" customHeight="1">
      <c r="A201" s="16" t="inlineStr">
        <is>
          <t>TC_LOG_200</t>
        </is>
      </c>
      <c r="B201" s="17" t="inlineStr">
        <is>
          <t>Session Management &amp; Persistence</t>
        </is>
      </c>
      <c r="C201" s="17" t="inlineStr">
        <is>
          <t>Verify Session cleanup job on database purge</t>
        </is>
      </c>
      <c r="D201" s="17" t="inlineStr">
        <is>
          <t>Active backend application server with session middleware</t>
        </is>
      </c>
      <c r="E201" s="17" t="inlineStr">
        <is>
          <t>1. Execute authentication sequence
2. Perform session operation (Session cleanup job on database purge)
3. Inspect cookies &amp; response redirect</t>
        </is>
      </c>
      <c r="F201" s="17" t="inlineStr">
        <is>
          <t>Session_Test=Session cleanup job on database purge</t>
        </is>
      </c>
      <c r="G201" s="17" t="inlineStr">
        <is>
          <t>Session behaves securely. Expected: Expired session records removed from DB periodically.</t>
        </is>
      </c>
      <c r="H201" s="16" t="inlineStr">
        <is>
          <t>Manual</t>
        </is>
      </c>
      <c r="I201" s="16" t="inlineStr">
        <is>
          <t>P2</t>
        </is>
      </c>
      <c r="J201" s="16" t="inlineStr">
        <is>
          <t>Medium</t>
        </is>
      </c>
      <c r="K201" s="15" t="inlineStr">
        <is>
          <t>AUTOMATED</t>
        </is>
      </c>
    </row>
    <row r="202" ht="20" customHeight="1">
      <c r="A202" s="13" t="inlineStr">
        <is>
          <t>TC_LOG_201</t>
        </is>
      </c>
      <c r="B202" s="14" t="inlineStr">
        <is>
          <t>Password Field Features</t>
        </is>
      </c>
      <c r="C202" s="14" t="inlineStr">
        <is>
          <t>Verify Password field default masking</t>
        </is>
      </c>
      <c r="D202" s="14" t="inlineStr">
        <is>
          <t>Login form visible</t>
        </is>
      </c>
      <c r="E202" s="14" t="inlineStr">
        <is>
          <t>1. Interact with password input field
2. Trigger feature action (Password field default masking)
3. Verify UI state change</t>
        </is>
      </c>
      <c r="F202" s="14" t="inlineStr">
        <is>
          <t>Feature=Password field default masking</t>
        </is>
      </c>
      <c r="G202" s="14" t="inlineStr">
        <is>
          <t>Feature operates cleanly. Input characters displayed as dots/bullets.</t>
        </is>
      </c>
      <c r="H202" s="13" t="inlineStr">
        <is>
          <t>Automated (Selenium)</t>
        </is>
      </c>
      <c r="I202" s="13" t="inlineStr">
        <is>
          <t>P2</t>
        </is>
      </c>
      <c r="J202" s="13" t="inlineStr">
        <is>
          <t>Medium</t>
        </is>
      </c>
      <c r="K202" s="15" t="inlineStr">
        <is>
          <t>PASSED</t>
        </is>
      </c>
    </row>
    <row r="203" ht="20" customHeight="1">
      <c r="A203" s="16" t="inlineStr">
        <is>
          <t>TC_LOG_202</t>
        </is>
      </c>
      <c r="B203" s="17" t="inlineStr">
        <is>
          <t>Password Field Features</t>
        </is>
      </c>
      <c r="C203" s="17" t="inlineStr">
        <is>
          <t>Verify Show Password toggle icon click</t>
        </is>
      </c>
      <c r="D203" s="17" t="inlineStr">
        <is>
          <t>Login form visible</t>
        </is>
      </c>
      <c r="E203" s="17" t="inlineStr">
        <is>
          <t>1. Interact with password input field
2. Trigger feature action (Show Password toggle icon click)
3. Verify UI state change</t>
        </is>
      </c>
      <c r="F203" s="17" t="inlineStr">
        <is>
          <t>Feature=Show Password toggle icon click</t>
        </is>
      </c>
      <c r="G203" s="17" t="inlineStr">
        <is>
          <t>Feature operates cleanly. Toggles input type from password to text.</t>
        </is>
      </c>
      <c r="H203" s="16" t="inlineStr">
        <is>
          <t>Automated (Selenium)</t>
        </is>
      </c>
      <c r="I203" s="16" t="inlineStr">
        <is>
          <t>P2</t>
        </is>
      </c>
      <c r="J203" s="16" t="inlineStr">
        <is>
          <t>Medium</t>
        </is>
      </c>
      <c r="K203" s="15" t="inlineStr">
        <is>
          <t>PASSED</t>
        </is>
      </c>
    </row>
    <row r="204" ht="20" customHeight="1">
      <c r="A204" s="13" t="inlineStr">
        <is>
          <t>TC_LOG_203</t>
        </is>
      </c>
      <c r="B204" s="14" t="inlineStr">
        <is>
          <t>Password Field Features</t>
        </is>
      </c>
      <c r="C204" s="14" t="inlineStr">
        <is>
          <t>Verify Hide Password toggle icon click</t>
        </is>
      </c>
      <c r="D204" s="14" t="inlineStr">
        <is>
          <t>Login form visible</t>
        </is>
      </c>
      <c r="E204" s="14" t="inlineStr">
        <is>
          <t>1. Interact with password input field
2. Trigger feature action (Hide Password toggle icon click)
3. Verify UI state change</t>
        </is>
      </c>
      <c r="F204" s="14" t="inlineStr">
        <is>
          <t>Feature=Hide Password toggle icon click</t>
        </is>
      </c>
      <c r="G204" s="14" t="inlineStr">
        <is>
          <t>Feature operates cleanly. Toggles input type back from text to password.</t>
        </is>
      </c>
      <c r="H204" s="13" t="inlineStr">
        <is>
          <t>Automated (Selenium)</t>
        </is>
      </c>
      <c r="I204" s="13" t="inlineStr">
        <is>
          <t>P2</t>
        </is>
      </c>
      <c r="J204" s="13" t="inlineStr">
        <is>
          <t>Medium</t>
        </is>
      </c>
      <c r="K204" s="15" t="inlineStr">
        <is>
          <t>PASSED</t>
        </is>
      </c>
    </row>
    <row r="205" ht="20" customHeight="1">
      <c r="A205" s="16" t="inlineStr">
        <is>
          <t>TC_LOG_204</t>
        </is>
      </c>
      <c r="B205" s="17" t="inlineStr">
        <is>
          <t>Password Field Features</t>
        </is>
      </c>
      <c r="C205" s="17" t="inlineStr">
        <is>
          <t>Verify Show/Hide Password keyboard accessibility</t>
        </is>
      </c>
      <c r="D205" s="17" t="inlineStr">
        <is>
          <t>Login form visible</t>
        </is>
      </c>
      <c r="E205" s="17" t="inlineStr">
        <is>
          <t>1. Interact with password input field
2. Trigger feature action (Show/Hide Password keyboard accessibility)
3. Verify UI state change</t>
        </is>
      </c>
      <c r="F205" s="17" t="inlineStr">
        <is>
          <t>Feature=Show/Hide Password keyboard accessibility</t>
        </is>
      </c>
      <c r="G205" s="17" t="inlineStr">
        <is>
          <t>Feature operates cleanly. Toggle icon actionable via Space/Enter key.</t>
        </is>
      </c>
      <c r="H205" s="16" t="inlineStr">
        <is>
          <t>Automated (Selenium)</t>
        </is>
      </c>
      <c r="I205" s="16" t="inlineStr">
        <is>
          <t>P2</t>
        </is>
      </c>
      <c r="J205" s="16" t="inlineStr">
        <is>
          <t>Medium</t>
        </is>
      </c>
      <c r="K205" s="15" t="inlineStr">
        <is>
          <t>PASSED</t>
        </is>
      </c>
    </row>
    <row r="206" ht="20" customHeight="1">
      <c r="A206" s="13" t="inlineStr">
        <is>
          <t>TC_LOG_205</t>
        </is>
      </c>
      <c r="B206" s="14" t="inlineStr">
        <is>
          <t>Password Field Features</t>
        </is>
      </c>
      <c r="C206" s="14" t="inlineStr">
        <is>
          <t>Verify Copying password text disabled/restricted</t>
        </is>
      </c>
      <c r="D206" s="14" t="inlineStr">
        <is>
          <t>Login form visible</t>
        </is>
      </c>
      <c r="E206" s="14" t="inlineStr">
        <is>
          <t>1. Interact with password input field
2. Trigger feature action (Copying password text disabled/restricted)
3. Verify UI state change</t>
        </is>
      </c>
      <c r="F206" s="14" t="inlineStr">
        <is>
          <t>Feature=Copying password text disabled/restricted</t>
        </is>
      </c>
      <c r="G206" s="14" t="inlineStr">
        <is>
          <t>Feature operates cleanly. Copy operation in password field controlled or masked.</t>
        </is>
      </c>
      <c r="H206" s="13" t="inlineStr">
        <is>
          <t>Automated (Selenium)</t>
        </is>
      </c>
      <c r="I206" s="13" t="inlineStr">
        <is>
          <t>P2</t>
        </is>
      </c>
      <c r="J206" s="13" t="inlineStr">
        <is>
          <t>Medium</t>
        </is>
      </c>
      <c r="K206" s="15" t="inlineStr">
        <is>
          <t>PASSED</t>
        </is>
      </c>
    </row>
    <row r="207" ht="20" customHeight="1">
      <c r="A207" s="16" t="inlineStr">
        <is>
          <t>TC_LOG_206</t>
        </is>
      </c>
      <c r="B207" s="17" t="inlineStr">
        <is>
          <t>Password Field Features</t>
        </is>
      </c>
      <c r="C207" s="17" t="inlineStr">
        <is>
          <t>Verify Pasting password into input field</t>
        </is>
      </c>
      <c r="D207" s="17" t="inlineStr">
        <is>
          <t>Login form visible</t>
        </is>
      </c>
      <c r="E207" s="17" t="inlineStr">
        <is>
          <t>1. Interact with password input field
2. Trigger feature action (Pasting password into input field)
3. Verify UI state change</t>
        </is>
      </c>
      <c r="F207" s="17" t="inlineStr">
        <is>
          <t>Feature=Pasting password into input field</t>
        </is>
      </c>
      <c r="G207" s="17" t="inlineStr">
        <is>
          <t>Feature operates cleanly. Supports pasting plain text passwords from clipboard.</t>
        </is>
      </c>
      <c r="H207" s="16" t="inlineStr">
        <is>
          <t>Automated (Selenium)</t>
        </is>
      </c>
      <c r="I207" s="16" t="inlineStr">
        <is>
          <t>P2</t>
        </is>
      </c>
      <c r="J207" s="16" t="inlineStr">
        <is>
          <t>Medium</t>
        </is>
      </c>
      <c r="K207" s="15" t="inlineStr">
        <is>
          <t>PASSED</t>
        </is>
      </c>
    </row>
    <row r="208" ht="20" customHeight="1">
      <c r="A208" s="13" t="inlineStr">
        <is>
          <t>TC_LOG_207</t>
        </is>
      </c>
      <c r="B208" s="14" t="inlineStr">
        <is>
          <t>Password Field Features</t>
        </is>
      </c>
      <c r="C208" s="14" t="inlineStr">
        <is>
          <t>Verify Cutting password text disabled</t>
        </is>
      </c>
      <c r="D208" s="14" t="inlineStr">
        <is>
          <t>Login form visible</t>
        </is>
      </c>
      <c r="E208" s="14" t="inlineStr">
        <is>
          <t>1. Interact with password input field
2. Trigger feature action (Cutting password text disabled)
3. Verify UI state change</t>
        </is>
      </c>
      <c r="F208" s="14" t="inlineStr">
        <is>
          <t>Feature=Cutting password text disabled</t>
        </is>
      </c>
      <c r="G208" s="14" t="inlineStr">
        <is>
          <t>Feature operates cleanly. Cut operation in password field masked/disabled.</t>
        </is>
      </c>
      <c r="H208" s="13" t="inlineStr">
        <is>
          <t>Automated (Selenium)</t>
        </is>
      </c>
      <c r="I208" s="13" t="inlineStr">
        <is>
          <t>P2</t>
        </is>
      </c>
      <c r="J208" s="13" t="inlineStr">
        <is>
          <t>Medium</t>
        </is>
      </c>
      <c r="K208" s="15" t="inlineStr">
        <is>
          <t>PASSED</t>
        </is>
      </c>
    </row>
    <row r="209" ht="20" customHeight="1">
      <c r="A209" s="16" t="inlineStr">
        <is>
          <t>TC_LOG_208</t>
        </is>
      </c>
      <c r="B209" s="17" t="inlineStr">
        <is>
          <t>Password Field Features</t>
        </is>
      </c>
      <c r="C209" s="17" t="inlineStr">
        <is>
          <t>Verify Password field Context Menu (Right Click)</t>
        </is>
      </c>
      <c r="D209" s="17" t="inlineStr">
        <is>
          <t>Login form visible</t>
        </is>
      </c>
      <c r="E209" s="17" t="inlineStr">
        <is>
          <t>1. Interact with password input field
2. Trigger feature action (Password field Context Menu (Right Click))
3. Verify UI state change</t>
        </is>
      </c>
      <c r="F209" s="17" t="inlineStr">
        <is>
          <t>Feature=Password field Context Menu (Right Click)</t>
        </is>
      </c>
      <c r="G209" s="17" t="inlineStr">
        <is>
          <t>Feature operates cleanly. Context menu behaves normally or displays custom options.</t>
        </is>
      </c>
      <c r="H209" s="16" t="inlineStr">
        <is>
          <t>Automated (Selenium)</t>
        </is>
      </c>
      <c r="I209" s="16" t="inlineStr">
        <is>
          <t>P2</t>
        </is>
      </c>
      <c r="J209" s="16" t="inlineStr">
        <is>
          <t>Medium</t>
        </is>
      </c>
      <c r="K209" s="15" t="inlineStr">
        <is>
          <t>PASSED</t>
        </is>
      </c>
    </row>
    <row r="210" ht="20" customHeight="1">
      <c r="A210" s="13" t="inlineStr">
        <is>
          <t>TC_LOG_209</t>
        </is>
      </c>
      <c r="B210" s="14" t="inlineStr">
        <is>
          <t>Password Field Features</t>
        </is>
      </c>
      <c r="C210" s="14" t="inlineStr">
        <is>
          <t>Verify Caps Lock key active warning indicator</t>
        </is>
      </c>
      <c r="D210" s="14" t="inlineStr">
        <is>
          <t>Login form visible</t>
        </is>
      </c>
      <c r="E210" s="14" t="inlineStr">
        <is>
          <t>1. Interact with password input field
2. Trigger feature action (Caps Lock key active warning indicator)
3. Verify UI state change</t>
        </is>
      </c>
      <c r="F210" s="14" t="inlineStr">
        <is>
          <t>Feature=Caps Lock key active warning indicator</t>
        </is>
      </c>
      <c r="G210" s="14" t="inlineStr">
        <is>
          <t>Feature operates cleanly. Displays 'Caps Lock is ON' tooltip notification.</t>
        </is>
      </c>
      <c r="H210" s="13" t="inlineStr">
        <is>
          <t>Automated (Selenium)</t>
        </is>
      </c>
      <c r="I210" s="13" t="inlineStr">
        <is>
          <t>P2</t>
        </is>
      </c>
      <c r="J210" s="13" t="inlineStr">
        <is>
          <t>Medium</t>
        </is>
      </c>
      <c r="K210" s="15" t="inlineStr">
        <is>
          <t>PASSED</t>
        </is>
      </c>
    </row>
    <row r="211" ht="20" customHeight="1">
      <c r="A211" s="16" t="inlineStr">
        <is>
          <t>TC_LOG_210</t>
        </is>
      </c>
      <c r="B211" s="17" t="inlineStr">
        <is>
          <t>Password Field Features</t>
        </is>
      </c>
      <c r="C211" s="17" t="inlineStr">
        <is>
          <t>Verify Password input clearing via ESC key</t>
        </is>
      </c>
      <c r="D211" s="17" t="inlineStr">
        <is>
          <t>Login form visible</t>
        </is>
      </c>
      <c r="E211" s="17" t="inlineStr">
        <is>
          <t>1. Interact with password input field
2. Trigger feature action (Password input clearing via ESC key)
3. Verify UI state change</t>
        </is>
      </c>
      <c r="F211" s="17" t="inlineStr">
        <is>
          <t>Feature=Password input clearing via ESC key</t>
        </is>
      </c>
      <c r="G211" s="17" t="inlineStr">
        <is>
          <t>Feature operates cleanly. Clears field text when ESC key pressed (if supported).</t>
        </is>
      </c>
      <c r="H211" s="16" t="inlineStr">
        <is>
          <t>Automated (Selenium)</t>
        </is>
      </c>
      <c r="I211" s="16" t="inlineStr">
        <is>
          <t>P2</t>
        </is>
      </c>
      <c r="J211" s="16" t="inlineStr">
        <is>
          <t>Medium</t>
        </is>
      </c>
      <c r="K211" s="15" t="inlineStr">
        <is>
          <t>PASSED</t>
        </is>
      </c>
    </row>
    <row r="212" ht="20" customHeight="1">
      <c r="A212" s="13" t="inlineStr">
        <is>
          <t>TC_LOG_211</t>
        </is>
      </c>
      <c r="B212" s="14" t="inlineStr">
        <is>
          <t>Password Field Features</t>
        </is>
      </c>
      <c r="C212" s="14" t="inlineStr">
        <is>
          <t>Verify Password strength meter calculation</t>
        </is>
      </c>
      <c r="D212" s="14" t="inlineStr">
        <is>
          <t>Login form visible</t>
        </is>
      </c>
      <c r="E212" s="14" t="inlineStr">
        <is>
          <t>1. Interact with password input field
2. Trigger feature action (Password strength meter calculation)
3. Verify UI state change</t>
        </is>
      </c>
      <c r="F212" s="14" t="inlineStr">
        <is>
          <t>Feature=Password strength meter calculation</t>
        </is>
      </c>
      <c r="G212" s="14" t="inlineStr">
        <is>
          <t>Feature operates cleanly. Calculates password strength dynamically on input.</t>
        </is>
      </c>
      <c r="H212" s="13" t="inlineStr">
        <is>
          <t>Automated (Selenium)</t>
        </is>
      </c>
      <c r="I212" s="13" t="inlineStr">
        <is>
          <t>P2</t>
        </is>
      </c>
      <c r="J212" s="13" t="inlineStr">
        <is>
          <t>Medium</t>
        </is>
      </c>
      <c r="K212" s="15" t="inlineStr">
        <is>
          <t>AUTOMATED</t>
        </is>
      </c>
    </row>
    <row r="213" ht="20" customHeight="1">
      <c r="A213" s="16" t="inlineStr">
        <is>
          <t>TC_LOG_212</t>
        </is>
      </c>
      <c r="B213" s="17" t="inlineStr">
        <is>
          <t>Password Field Features</t>
        </is>
      </c>
      <c r="C213" s="17" t="inlineStr">
        <is>
          <t>Verify Password field selection highlight</t>
        </is>
      </c>
      <c r="D213" s="17" t="inlineStr">
        <is>
          <t>Login form visible</t>
        </is>
      </c>
      <c r="E213" s="17" t="inlineStr">
        <is>
          <t>1. Interact with password input field
2. Trigger feature action (Password field selection highlight)
3. Verify UI state change</t>
        </is>
      </c>
      <c r="F213" s="17" t="inlineStr">
        <is>
          <t>Feature=Password field selection highlight</t>
        </is>
      </c>
      <c r="G213" s="17" t="inlineStr">
        <is>
          <t>Feature operates cleanly. Text selection highlight renders cleanly.</t>
        </is>
      </c>
      <c r="H213" s="16" t="inlineStr">
        <is>
          <t>Automated (Selenium)</t>
        </is>
      </c>
      <c r="I213" s="16" t="inlineStr">
        <is>
          <t>P2</t>
        </is>
      </c>
      <c r="J213" s="16" t="inlineStr">
        <is>
          <t>Medium</t>
        </is>
      </c>
      <c r="K213" s="15" t="inlineStr">
        <is>
          <t>AUTOMATED</t>
        </is>
      </c>
    </row>
    <row r="214" ht="20" customHeight="1">
      <c r="A214" s="13" t="inlineStr">
        <is>
          <t>TC_LOG_213</t>
        </is>
      </c>
      <c r="B214" s="14" t="inlineStr">
        <is>
          <t>Password Field Features</t>
        </is>
      </c>
      <c r="C214" s="14" t="inlineStr">
        <is>
          <t>Verify Browser auto-fill credential filling</t>
        </is>
      </c>
      <c r="D214" s="14" t="inlineStr">
        <is>
          <t>Login form visible</t>
        </is>
      </c>
      <c r="E214" s="14" t="inlineStr">
        <is>
          <t>1. Interact with password input field
2. Trigger feature action (Browser auto-fill credential filling)
3. Verify UI state change</t>
        </is>
      </c>
      <c r="F214" s="14" t="inlineStr">
        <is>
          <t>Feature=Browser auto-fill credential filling</t>
        </is>
      </c>
      <c r="G214" s="14" t="inlineStr">
        <is>
          <t>Feature operates cleanly. Auto-fills username and password from saved store.</t>
        </is>
      </c>
      <c r="H214" s="13" t="inlineStr">
        <is>
          <t>Manual</t>
        </is>
      </c>
      <c r="I214" s="13" t="inlineStr">
        <is>
          <t>P2</t>
        </is>
      </c>
      <c r="J214" s="13" t="inlineStr">
        <is>
          <t>Medium</t>
        </is>
      </c>
      <c r="K214" s="15" t="inlineStr">
        <is>
          <t>AUTOMATED</t>
        </is>
      </c>
    </row>
    <row r="215" ht="20" customHeight="1">
      <c r="A215" s="16" t="inlineStr">
        <is>
          <t>TC_LOG_214</t>
        </is>
      </c>
      <c r="B215" s="17" t="inlineStr">
        <is>
          <t>Password Field Features</t>
        </is>
      </c>
      <c r="C215" s="17" t="inlineStr">
        <is>
          <t>Verify Browser prompt to save credentials post-login</t>
        </is>
      </c>
      <c r="D215" s="17" t="inlineStr">
        <is>
          <t>Login form visible</t>
        </is>
      </c>
      <c r="E215" s="17" t="inlineStr">
        <is>
          <t>1. Interact with password input field
2. Trigger feature action (Browser prompt to save credentials post-login)
3. Verify UI state change</t>
        </is>
      </c>
      <c r="F215" s="17" t="inlineStr">
        <is>
          <t>Feature=Browser prompt to save credentials post-login</t>
        </is>
      </c>
      <c r="G215" s="17" t="inlineStr">
        <is>
          <t>Feature operates cleanly. Browser displays 'Save Password?' prompt.</t>
        </is>
      </c>
      <c r="H215" s="16" t="inlineStr">
        <is>
          <t>Manual</t>
        </is>
      </c>
      <c r="I215" s="16" t="inlineStr">
        <is>
          <t>P2</t>
        </is>
      </c>
      <c r="J215" s="16" t="inlineStr">
        <is>
          <t>Medium</t>
        </is>
      </c>
      <c r="K215" s="15" t="inlineStr">
        <is>
          <t>AUTOMATED</t>
        </is>
      </c>
    </row>
    <row r="216" ht="20" customHeight="1">
      <c r="A216" s="13" t="inlineStr">
        <is>
          <t>TC_LOG_215</t>
        </is>
      </c>
      <c r="B216" s="14" t="inlineStr">
        <is>
          <t>Password Field Features</t>
        </is>
      </c>
      <c r="C216" s="14" t="inlineStr">
        <is>
          <t>Verify Password field font monospace consistency</t>
        </is>
      </c>
      <c r="D216" s="14" t="inlineStr">
        <is>
          <t>Login form visible</t>
        </is>
      </c>
      <c r="E216" s="14" t="inlineStr">
        <is>
          <t>1. Interact with password input field
2. Trigger feature action (Password field font monospace consistency)
3. Verify UI state change</t>
        </is>
      </c>
      <c r="F216" s="14" t="inlineStr">
        <is>
          <t>Feature=Password field font monospace consistency</t>
        </is>
      </c>
      <c r="G216" s="14" t="inlineStr">
        <is>
          <t>Feature operates cleanly. Masking dots align evenly without spacing jitter.</t>
        </is>
      </c>
      <c r="H216" s="13" t="inlineStr">
        <is>
          <t>Manual</t>
        </is>
      </c>
      <c r="I216" s="13" t="inlineStr">
        <is>
          <t>P2</t>
        </is>
      </c>
      <c r="J216" s="13" t="inlineStr">
        <is>
          <t>Medium</t>
        </is>
      </c>
      <c r="K216" s="15" t="inlineStr">
        <is>
          <t>AUTOMATED</t>
        </is>
      </c>
    </row>
    <row r="217" ht="20" customHeight="1">
      <c r="A217" s="16" t="inlineStr">
        <is>
          <t>TC_LOG_216</t>
        </is>
      </c>
      <c r="B217" s="17" t="inlineStr">
        <is>
          <t>Password Field Features</t>
        </is>
      </c>
      <c r="C217" s="17" t="inlineStr">
        <is>
          <t>Verify Password field clear button (X icon)</t>
        </is>
      </c>
      <c r="D217" s="17" t="inlineStr">
        <is>
          <t>Login form visible</t>
        </is>
      </c>
      <c r="E217" s="17" t="inlineStr">
        <is>
          <t>1. Interact with password input field
2. Trigger feature action (Password field clear button (X icon))
3. Verify UI state change</t>
        </is>
      </c>
      <c r="F217" s="17" t="inlineStr">
        <is>
          <t>Feature=Password field clear button (X icon)</t>
        </is>
      </c>
      <c r="G217" s="17" t="inlineStr">
        <is>
          <t>Feature operates cleanly. Clear icon wipes input text upon click.</t>
        </is>
      </c>
      <c r="H217" s="16" t="inlineStr">
        <is>
          <t>Manual</t>
        </is>
      </c>
      <c r="I217" s="16" t="inlineStr">
        <is>
          <t>P2</t>
        </is>
      </c>
      <c r="J217" s="16" t="inlineStr">
        <is>
          <t>Medium</t>
        </is>
      </c>
      <c r="K217" s="15" t="inlineStr">
        <is>
          <t>AUTOMATED</t>
        </is>
      </c>
    </row>
    <row r="218" ht="20" customHeight="1">
      <c r="A218" s="13" t="inlineStr">
        <is>
          <t>TC_LOG_217</t>
        </is>
      </c>
      <c r="B218" s="14" t="inlineStr">
        <is>
          <t>Password Field Features</t>
        </is>
      </c>
      <c r="C218" s="14" t="inlineStr">
        <is>
          <t>Verify Password field character counter</t>
        </is>
      </c>
      <c r="D218" s="14" t="inlineStr">
        <is>
          <t>Login form visible</t>
        </is>
      </c>
      <c r="E218" s="14" t="inlineStr">
        <is>
          <t>1. Interact with password input field
2. Trigger feature action (Password field character counter)
3. Verify UI state change</t>
        </is>
      </c>
      <c r="F218" s="14" t="inlineStr">
        <is>
          <t>Feature=Password field character counter</t>
        </is>
      </c>
      <c r="G218" s="14" t="inlineStr">
        <is>
          <t>Feature operates cleanly. Displays current character count / max allowed.</t>
        </is>
      </c>
      <c r="H218" s="13" t="inlineStr">
        <is>
          <t>Manual</t>
        </is>
      </c>
      <c r="I218" s="13" t="inlineStr">
        <is>
          <t>P2</t>
        </is>
      </c>
      <c r="J218" s="13" t="inlineStr">
        <is>
          <t>Medium</t>
        </is>
      </c>
      <c r="K218" s="15" t="inlineStr">
        <is>
          <t>AUTOMATED</t>
        </is>
      </c>
    </row>
    <row r="219" ht="20" customHeight="1">
      <c r="A219" s="16" t="inlineStr">
        <is>
          <t>TC_LOG_218</t>
        </is>
      </c>
      <c r="B219" s="17" t="inlineStr">
        <is>
          <t>Password Field Features</t>
        </is>
      </c>
      <c r="C219" s="17" t="inlineStr">
        <is>
          <t>Verify Password field drag-and-drop text injection</t>
        </is>
      </c>
      <c r="D219" s="17" t="inlineStr">
        <is>
          <t>Login form visible</t>
        </is>
      </c>
      <c r="E219" s="17" t="inlineStr">
        <is>
          <t>1. Interact with password input field
2. Trigger feature action (Password field drag-and-drop text injection)
3. Verify UI state change</t>
        </is>
      </c>
      <c r="F219" s="17" t="inlineStr">
        <is>
          <t>Feature=Password field drag-and-drop text injection</t>
        </is>
      </c>
      <c r="G219" s="17" t="inlineStr">
        <is>
          <t>Feature operates cleanly. Handles drag-and-drop text safely.</t>
        </is>
      </c>
      <c r="H219" s="16" t="inlineStr">
        <is>
          <t>Manual</t>
        </is>
      </c>
      <c r="I219" s="16" t="inlineStr">
        <is>
          <t>P2</t>
        </is>
      </c>
      <c r="J219" s="16" t="inlineStr">
        <is>
          <t>Medium</t>
        </is>
      </c>
      <c r="K219" s="15" t="inlineStr">
        <is>
          <t>AUTOMATED</t>
        </is>
      </c>
    </row>
    <row r="220" ht="20" customHeight="1">
      <c r="A220" s="13" t="inlineStr">
        <is>
          <t>TC_LOG_219</t>
        </is>
      </c>
      <c r="B220" s="14" t="inlineStr">
        <is>
          <t>Password Field Features</t>
        </is>
      </c>
      <c r="C220" s="14" t="inlineStr">
        <is>
          <t>Verify Password field undo/redo (Ctrl+Z / Ctrl+Y)</t>
        </is>
      </c>
      <c r="D220" s="14" t="inlineStr">
        <is>
          <t>Login form visible</t>
        </is>
      </c>
      <c r="E220" s="14" t="inlineStr">
        <is>
          <t>1. Interact with password input field
2. Trigger feature action (Password field undo/redo (Ctrl+Z / Ctrl+Y))
3. Verify UI state change</t>
        </is>
      </c>
      <c r="F220" s="14" t="inlineStr">
        <is>
          <t>Feature=Password field undo/redo (Ctrl+Z / Ctrl+Y)</t>
        </is>
      </c>
      <c r="G220" s="14" t="inlineStr">
        <is>
          <t>Feature operates cleanly. Supports standard text undo/redo actions.</t>
        </is>
      </c>
      <c r="H220" s="13" t="inlineStr">
        <is>
          <t>Manual</t>
        </is>
      </c>
      <c r="I220" s="13" t="inlineStr">
        <is>
          <t>P2</t>
        </is>
      </c>
      <c r="J220" s="13" t="inlineStr">
        <is>
          <t>Medium</t>
        </is>
      </c>
      <c r="K220" s="15" t="inlineStr">
        <is>
          <t>AUTOMATED</t>
        </is>
      </c>
    </row>
    <row r="221" ht="20" customHeight="1">
      <c r="A221" s="16" t="inlineStr">
        <is>
          <t>TC_LOG_220</t>
        </is>
      </c>
      <c r="B221" s="17" t="inlineStr">
        <is>
          <t>Password Field Features</t>
        </is>
      </c>
      <c r="C221" s="17" t="inlineStr">
        <is>
          <t>Verify Password field IME input editor support</t>
        </is>
      </c>
      <c r="D221" s="17" t="inlineStr">
        <is>
          <t>Login form visible</t>
        </is>
      </c>
      <c r="E221" s="17" t="inlineStr">
        <is>
          <t>1. Interact with password input field
2. Trigger feature action (Password field IME input editor support)
3. Verify UI state change</t>
        </is>
      </c>
      <c r="F221" s="17" t="inlineStr">
        <is>
          <t>Feature=Password field IME input editor support</t>
        </is>
      </c>
      <c r="G221" s="17" t="inlineStr">
        <is>
          <t>Feature operates cleanly. Supports international IME keyboards.</t>
        </is>
      </c>
      <c r="H221" s="16" t="inlineStr">
        <is>
          <t>Manual</t>
        </is>
      </c>
      <c r="I221" s="16" t="inlineStr">
        <is>
          <t>P2</t>
        </is>
      </c>
      <c r="J221" s="16" t="inlineStr">
        <is>
          <t>Medium</t>
        </is>
      </c>
      <c r="K221" s="15" t="inlineStr">
        <is>
          <t>AUTOMATED</t>
        </is>
      </c>
    </row>
    <row r="222" ht="20" customHeight="1">
      <c r="A222" s="13" t="inlineStr">
        <is>
          <t>TC_LOG_221</t>
        </is>
      </c>
      <c r="B222" s="14" t="inlineStr">
        <is>
          <t>Account Lockout &amp; Rate Limiting</t>
        </is>
      </c>
      <c r="C222" s="14" t="inlineStr">
        <is>
          <t>Verify rate limiting after 3 consecutive failed login attempts (Test #1)</t>
        </is>
      </c>
      <c r="D222" s="14" t="inlineStr">
        <is>
          <t>Active operator account 'admin'</t>
        </is>
      </c>
      <c r="E222" s="14" t="inlineStr">
        <is>
          <t>1. Submit incorrect password 3 times sequentially
2. Attempt 4th login attempt with correct password</t>
        </is>
      </c>
      <c r="F222" s="14" t="inlineStr">
        <is>
          <t>Attempt_Count=3, Target_Account=admin</t>
        </is>
      </c>
      <c r="G222" s="14" t="inlineStr">
        <is>
          <t>Rate limiter triggers HTTP 429 Too Many Requests or locks account temporarily for cooldown period.</t>
        </is>
      </c>
      <c r="H222" s="13" t="inlineStr">
        <is>
          <t>Automated (Selenium)</t>
        </is>
      </c>
      <c r="I222" s="13" t="inlineStr">
        <is>
          <t>P1</t>
        </is>
      </c>
      <c r="J222" s="13" t="inlineStr">
        <is>
          <t>High</t>
        </is>
      </c>
      <c r="K222" s="15" t="inlineStr">
        <is>
          <t>PASSED</t>
        </is>
      </c>
    </row>
    <row r="223" ht="20" customHeight="1">
      <c r="A223" s="16" t="inlineStr">
        <is>
          <t>TC_LOG_222</t>
        </is>
      </c>
      <c r="B223" s="17" t="inlineStr">
        <is>
          <t>Account Lockout &amp; Rate Limiting</t>
        </is>
      </c>
      <c r="C223" s="17" t="inlineStr">
        <is>
          <t>Verify rate limiting after 3 consecutive failed login attempts (Test #2)</t>
        </is>
      </c>
      <c r="D223" s="17" t="inlineStr">
        <is>
          <t>Active operator account 'admin'</t>
        </is>
      </c>
      <c r="E223" s="17" t="inlineStr">
        <is>
          <t>1. Submit incorrect password 3 times sequentially
2. Attempt 4th login attempt with correct password</t>
        </is>
      </c>
      <c r="F223" s="17" t="inlineStr">
        <is>
          <t>Attempt_Count=3, Target_Account=admin</t>
        </is>
      </c>
      <c r="G223" s="17" t="inlineStr">
        <is>
          <t>Rate limiter triggers HTTP 429 Too Many Requests or locks account temporarily for cooldown period.</t>
        </is>
      </c>
      <c r="H223" s="16" t="inlineStr">
        <is>
          <t>Automated (Selenium)</t>
        </is>
      </c>
      <c r="I223" s="16" t="inlineStr">
        <is>
          <t>P1</t>
        </is>
      </c>
      <c r="J223" s="16" t="inlineStr">
        <is>
          <t>High</t>
        </is>
      </c>
      <c r="K223" s="15" t="inlineStr">
        <is>
          <t>AUTOMATED</t>
        </is>
      </c>
    </row>
    <row r="224" ht="20" customHeight="1">
      <c r="A224" s="13" t="inlineStr">
        <is>
          <t>TC_LOG_223</t>
        </is>
      </c>
      <c r="B224" s="14" t="inlineStr">
        <is>
          <t>Account Lockout &amp; Rate Limiting</t>
        </is>
      </c>
      <c r="C224" s="14" t="inlineStr">
        <is>
          <t>Verify rate limiting after 3 consecutive failed login attempts (Test #3)</t>
        </is>
      </c>
      <c r="D224" s="14" t="inlineStr">
        <is>
          <t>Active operator account 'admin'</t>
        </is>
      </c>
      <c r="E224" s="14" t="inlineStr">
        <is>
          <t>1. Submit incorrect password 3 times sequentially
2. Attempt 4th login attempt with correct password</t>
        </is>
      </c>
      <c r="F224" s="14" t="inlineStr">
        <is>
          <t>Attempt_Count=3, Target_Account=admin</t>
        </is>
      </c>
      <c r="G224" s="14" t="inlineStr">
        <is>
          <t>Rate limiter triggers HTTP 429 Too Many Requests or locks account temporarily for cooldown period.</t>
        </is>
      </c>
      <c r="H224" s="13" t="inlineStr">
        <is>
          <t>Automated (Selenium)</t>
        </is>
      </c>
      <c r="I224" s="13" t="inlineStr">
        <is>
          <t>P1</t>
        </is>
      </c>
      <c r="J224" s="13" t="inlineStr">
        <is>
          <t>High</t>
        </is>
      </c>
      <c r="K224" s="15" t="inlineStr">
        <is>
          <t>PASSED</t>
        </is>
      </c>
    </row>
    <row r="225" ht="20" customHeight="1">
      <c r="A225" s="16" t="inlineStr">
        <is>
          <t>TC_LOG_224</t>
        </is>
      </c>
      <c r="B225" s="17" t="inlineStr">
        <is>
          <t>Account Lockout &amp; Rate Limiting</t>
        </is>
      </c>
      <c r="C225" s="17" t="inlineStr">
        <is>
          <t>Verify rate limiting after 3 consecutive failed login attempts (Test #4)</t>
        </is>
      </c>
      <c r="D225" s="17" t="inlineStr">
        <is>
          <t>Active operator account 'admin'</t>
        </is>
      </c>
      <c r="E225" s="17" t="inlineStr">
        <is>
          <t>1. Submit incorrect password 3 times sequentially
2. Attempt 4th login attempt with correct password</t>
        </is>
      </c>
      <c r="F225" s="17" t="inlineStr">
        <is>
          <t>Attempt_Count=3, Target_Account=admin</t>
        </is>
      </c>
      <c r="G225" s="17" t="inlineStr">
        <is>
          <t>Rate limiter triggers HTTP 429 Too Many Requests or locks account temporarily for cooldown period.</t>
        </is>
      </c>
      <c r="H225" s="16" t="inlineStr">
        <is>
          <t>Automated (Selenium)</t>
        </is>
      </c>
      <c r="I225" s="16" t="inlineStr">
        <is>
          <t>P1</t>
        </is>
      </c>
      <c r="J225" s="16" t="inlineStr">
        <is>
          <t>High</t>
        </is>
      </c>
      <c r="K225" s="15" t="inlineStr">
        <is>
          <t>AUTOMATED</t>
        </is>
      </c>
    </row>
    <row r="226" ht="20" customHeight="1">
      <c r="A226" s="13" t="inlineStr">
        <is>
          <t>TC_LOG_225</t>
        </is>
      </c>
      <c r="B226" s="14" t="inlineStr">
        <is>
          <t>Account Lockout &amp; Rate Limiting</t>
        </is>
      </c>
      <c r="C226" s="14" t="inlineStr">
        <is>
          <t>Verify rate limiting after 3 consecutive failed login attempts (Test #5)</t>
        </is>
      </c>
      <c r="D226" s="14" t="inlineStr">
        <is>
          <t>Active operator account 'admin'</t>
        </is>
      </c>
      <c r="E226" s="14" t="inlineStr">
        <is>
          <t>1. Submit incorrect password 3 times sequentially
2. Attempt 4th login attempt with correct password</t>
        </is>
      </c>
      <c r="F226" s="14" t="inlineStr">
        <is>
          <t>Attempt_Count=3, Target_Account=admin</t>
        </is>
      </c>
      <c r="G226" s="14" t="inlineStr">
        <is>
          <t>Rate limiter triggers HTTP 429 Too Many Requests or locks account temporarily for cooldown period.</t>
        </is>
      </c>
      <c r="H226" s="13" t="inlineStr">
        <is>
          <t>Automated (Selenium)</t>
        </is>
      </c>
      <c r="I226" s="13" t="inlineStr">
        <is>
          <t>P1</t>
        </is>
      </c>
      <c r="J226" s="13" t="inlineStr">
        <is>
          <t>High</t>
        </is>
      </c>
      <c r="K226" s="15" t="inlineStr">
        <is>
          <t>PASSED</t>
        </is>
      </c>
    </row>
    <row r="227" ht="20" customHeight="1">
      <c r="A227" s="16" t="inlineStr">
        <is>
          <t>TC_LOG_226</t>
        </is>
      </c>
      <c r="B227" s="17" t="inlineStr">
        <is>
          <t>Account Lockout &amp; Rate Limiting</t>
        </is>
      </c>
      <c r="C227" s="17" t="inlineStr">
        <is>
          <t>Verify rate limiting after 5 consecutive failed login attempts (Test #6)</t>
        </is>
      </c>
      <c r="D227" s="17" t="inlineStr">
        <is>
          <t>Active operator account 'admin'</t>
        </is>
      </c>
      <c r="E227" s="17" t="inlineStr">
        <is>
          <t>1. Submit incorrect password 5 times sequentially
2. Attempt 6th login attempt with correct password</t>
        </is>
      </c>
      <c r="F227" s="17" t="inlineStr">
        <is>
          <t>Attempt_Count=5, Target_Account=admin</t>
        </is>
      </c>
      <c r="G227" s="17" t="inlineStr">
        <is>
          <t>Rate limiter triggers HTTP 429 Too Many Requests or locks account temporarily for cooldown period.</t>
        </is>
      </c>
      <c r="H227" s="16" t="inlineStr">
        <is>
          <t>Automated (Selenium)</t>
        </is>
      </c>
      <c r="I227" s="16" t="inlineStr">
        <is>
          <t>P2</t>
        </is>
      </c>
      <c r="J227" s="16" t="inlineStr">
        <is>
          <t>High</t>
        </is>
      </c>
      <c r="K227" s="15" t="inlineStr">
        <is>
          <t>AUTOMATED</t>
        </is>
      </c>
    </row>
    <row r="228" ht="20" customHeight="1">
      <c r="A228" s="13" t="inlineStr">
        <is>
          <t>TC_LOG_227</t>
        </is>
      </c>
      <c r="B228" s="14" t="inlineStr">
        <is>
          <t>Account Lockout &amp; Rate Limiting</t>
        </is>
      </c>
      <c r="C228" s="14" t="inlineStr">
        <is>
          <t>Verify rate limiting after 5 consecutive failed login attempts (Test #7)</t>
        </is>
      </c>
      <c r="D228" s="14" t="inlineStr">
        <is>
          <t>Active operator account 'admin'</t>
        </is>
      </c>
      <c r="E228" s="14" t="inlineStr">
        <is>
          <t>1. Submit incorrect password 5 times sequentially
2. Attempt 6th login attempt with correct password</t>
        </is>
      </c>
      <c r="F228" s="14" t="inlineStr">
        <is>
          <t>Attempt_Count=5, Target_Account=admin</t>
        </is>
      </c>
      <c r="G228" s="14" t="inlineStr">
        <is>
          <t>Rate limiter triggers HTTP 429 Too Many Requests or locks account temporarily for cooldown period.</t>
        </is>
      </c>
      <c r="H228" s="13" t="inlineStr">
        <is>
          <t>Automated (Selenium)</t>
        </is>
      </c>
      <c r="I228" s="13" t="inlineStr">
        <is>
          <t>P2</t>
        </is>
      </c>
      <c r="J228" s="13" t="inlineStr">
        <is>
          <t>High</t>
        </is>
      </c>
      <c r="K228" s="15" t="inlineStr">
        <is>
          <t>PASSED</t>
        </is>
      </c>
    </row>
    <row r="229" ht="20" customHeight="1">
      <c r="A229" s="16" t="inlineStr">
        <is>
          <t>TC_LOG_228</t>
        </is>
      </c>
      <c r="B229" s="17" t="inlineStr">
        <is>
          <t>Account Lockout &amp; Rate Limiting</t>
        </is>
      </c>
      <c r="C229" s="17" t="inlineStr">
        <is>
          <t>Verify rate limiting after 5 consecutive failed login attempts (Test #8)</t>
        </is>
      </c>
      <c r="D229" s="17" t="inlineStr">
        <is>
          <t>Active operator account 'admin'</t>
        </is>
      </c>
      <c r="E229" s="17" t="inlineStr">
        <is>
          <t>1. Submit incorrect password 5 times sequentially
2. Attempt 6th login attempt with correct password</t>
        </is>
      </c>
      <c r="F229" s="17" t="inlineStr">
        <is>
          <t>Attempt_Count=5, Target_Account=admin</t>
        </is>
      </c>
      <c r="G229" s="17" t="inlineStr">
        <is>
          <t>Rate limiter triggers HTTP 429 Too Many Requests or locks account temporarily for cooldown period.</t>
        </is>
      </c>
      <c r="H229" s="16" t="inlineStr">
        <is>
          <t>Automated (Selenium)</t>
        </is>
      </c>
      <c r="I229" s="16" t="inlineStr">
        <is>
          <t>P2</t>
        </is>
      </c>
      <c r="J229" s="16" t="inlineStr">
        <is>
          <t>High</t>
        </is>
      </c>
      <c r="K229" s="15" t="inlineStr">
        <is>
          <t>AUTOMATED</t>
        </is>
      </c>
    </row>
    <row r="230" ht="20" customHeight="1">
      <c r="A230" s="13" t="inlineStr">
        <is>
          <t>TC_LOG_229</t>
        </is>
      </c>
      <c r="B230" s="14" t="inlineStr">
        <is>
          <t>Account Lockout &amp; Rate Limiting</t>
        </is>
      </c>
      <c r="C230" s="14" t="inlineStr">
        <is>
          <t>Verify rate limiting after 5 consecutive failed login attempts (Test #9)</t>
        </is>
      </c>
      <c r="D230" s="14" t="inlineStr">
        <is>
          <t>Active operator account 'admin'</t>
        </is>
      </c>
      <c r="E230" s="14" t="inlineStr">
        <is>
          <t>1. Submit incorrect password 5 times sequentially
2. Attempt 6th login attempt with correct password</t>
        </is>
      </c>
      <c r="F230" s="14" t="inlineStr">
        <is>
          <t>Attempt_Count=5, Target_Account=admin</t>
        </is>
      </c>
      <c r="G230" s="14" t="inlineStr">
        <is>
          <t>Rate limiter triggers HTTP 429 Too Many Requests or locks account temporarily for cooldown period.</t>
        </is>
      </c>
      <c r="H230" s="13" t="inlineStr">
        <is>
          <t>Automated (Selenium)</t>
        </is>
      </c>
      <c r="I230" s="13" t="inlineStr">
        <is>
          <t>P2</t>
        </is>
      </c>
      <c r="J230" s="13" t="inlineStr">
        <is>
          <t>High</t>
        </is>
      </c>
      <c r="K230" s="15" t="inlineStr">
        <is>
          <t>PASSED</t>
        </is>
      </c>
    </row>
    <row r="231" ht="20" customHeight="1">
      <c r="A231" s="16" t="inlineStr">
        <is>
          <t>TC_LOG_230</t>
        </is>
      </c>
      <c r="B231" s="17" t="inlineStr">
        <is>
          <t>Account Lockout &amp; Rate Limiting</t>
        </is>
      </c>
      <c r="C231" s="17" t="inlineStr">
        <is>
          <t>Verify rate limiting after 5 consecutive failed login attempts (Test #10)</t>
        </is>
      </c>
      <c r="D231" s="17" t="inlineStr">
        <is>
          <t>Active operator account 'admin'</t>
        </is>
      </c>
      <c r="E231" s="17" t="inlineStr">
        <is>
          <t>1. Submit incorrect password 5 times sequentially
2. Attempt 6th login attempt with correct password</t>
        </is>
      </c>
      <c r="F231" s="17" t="inlineStr">
        <is>
          <t>Attempt_Count=5, Target_Account=admin</t>
        </is>
      </c>
      <c r="G231" s="17" t="inlineStr">
        <is>
          <t>Rate limiter triggers HTTP 429 Too Many Requests or locks account temporarily for cooldown period.</t>
        </is>
      </c>
      <c r="H231" s="16" t="inlineStr">
        <is>
          <t>Automated (Selenium)</t>
        </is>
      </c>
      <c r="I231" s="16" t="inlineStr">
        <is>
          <t>P2</t>
        </is>
      </c>
      <c r="J231" s="16" t="inlineStr">
        <is>
          <t>High</t>
        </is>
      </c>
      <c r="K231" s="15" t="inlineStr">
        <is>
          <t>AUTOMATED</t>
        </is>
      </c>
    </row>
    <row r="232" ht="20" customHeight="1">
      <c r="A232" s="13" t="inlineStr">
        <is>
          <t>TC_LOG_231</t>
        </is>
      </c>
      <c r="B232" s="14" t="inlineStr">
        <is>
          <t>Account Lockout &amp; Rate Limiting</t>
        </is>
      </c>
      <c r="C232" s="14" t="inlineStr">
        <is>
          <t>Verify rate limiting after 10 consecutive failed login attempts (Test #11)</t>
        </is>
      </c>
      <c r="D232" s="14" t="inlineStr">
        <is>
          <t>Active operator account 'admin'</t>
        </is>
      </c>
      <c r="E232" s="14" t="inlineStr">
        <is>
          <t>1. Submit incorrect password 10 times sequentially
2. Attempt 11th login attempt with correct password</t>
        </is>
      </c>
      <c r="F232" s="14" t="inlineStr">
        <is>
          <t>Attempt_Count=10, Target_Account=admin</t>
        </is>
      </c>
      <c r="G232" s="14" t="inlineStr">
        <is>
          <t>Rate limiter triggers HTTP 429 Too Many Requests or locks account temporarily for cooldown period.</t>
        </is>
      </c>
      <c r="H232" s="13" t="inlineStr">
        <is>
          <t>Manual</t>
        </is>
      </c>
      <c r="I232" s="13" t="inlineStr">
        <is>
          <t>P2</t>
        </is>
      </c>
      <c r="J232" s="13" t="inlineStr">
        <is>
          <t>High</t>
        </is>
      </c>
      <c r="K232" s="15" t="inlineStr">
        <is>
          <t>PASSED</t>
        </is>
      </c>
    </row>
    <row r="233" ht="20" customHeight="1">
      <c r="A233" s="16" t="inlineStr">
        <is>
          <t>TC_LOG_232</t>
        </is>
      </c>
      <c r="B233" s="17" t="inlineStr">
        <is>
          <t>Account Lockout &amp; Rate Limiting</t>
        </is>
      </c>
      <c r="C233" s="17" t="inlineStr">
        <is>
          <t>Verify rate limiting after 10 consecutive failed login attempts (Test #12)</t>
        </is>
      </c>
      <c r="D233" s="17" t="inlineStr">
        <is>
          <t>Active operator account 'admin'</t>
        </is>
      </c>
      <c r="E233" s="17" t="inlineStr">
        <is>
          <t>1. Submit incorrect password 10 times sequentially
2. Attempt 11th login attempt with correct password</t>
        </is>
      </c>
      <c r="F233" s="17" t="inlineStr">
        <is>
          <t>Attempt_Count=10, Target_Account=admin</t>
        </is>
      </c>
      <c r="G233" s="17" t="inlineStr">
        <is>
          <t>Rate limiter triggers HTTP 429 Too Many Requests or locks account temporarily for cooldown period.</t>
        </is>
      </c>
      <c r="H233" s="16" t="inlineStr">
        <is>
          <t>Manual</t>
        </is>
      </c>
      <c r="I233" s="16" t="inlineStr">
        <is>
          <t>P2</t>
        </is>
      </c>
      <c r="J233" s="16" t="inlineStr">
        <is>
          <t>High</t>
        </is>
      </c>
      <c r="K233" s="15" t="inlineStr">
        <is>
          <t>AUTOMATED</t>
        </is>
      </c>
    </row>
    <row r="234" ht="20" customHeight="1">
      <c r="A234" s="13" t="inlineStr">
        <is>
          <t>TC_LOG_233</t>
        </is>
      </c>
      <c r="B234" s="14" t="inlineStr">
        <is>
          <t>Account Lockout &amp; Rate Limiting</t>
        </is>
      </c>
      <c r="C234" s="14" t="inlineStr">
        <is>
          <t>Verify rate limiting after 10 consecutive failed login attempts (Test #13)</t>
        </is>
      </c>
      <c r="D234" s="14" t="inlineStr">
        <is>
          <t>Active operator account 'admin'</t>
        </is>
      </c>
      <c r="E234" s="14" t="inlineStr">
        <is>
          <t>1. Submit incorrect password 10 times sequentially
2. Attempt 11th login attempt with correct password</t>
        </is>
      </c>
      <c r="F234" s="14" t="inlineStr">
        <is>
          <t>Attempt_Count=10, Target_Account=admin</t>
        </is>
      </c>
      <c r="G234" s="14" t="inlineStr">
        <is>
          <t>Rate limiter triggers HTTP 429 Too Many Requests or locks account temporarily for cooldown period.</t>
        </is>
      </c>
      <c r="H234" s="13" t="inlineStr">
        <is>
          <t>Manual</t>
        </is>
      </c>
      <c r="I234" s="13" t="inlineStr">
        <is>
          <t>P2</t>
        </is>
      </c>
      <c r="J234" s="13" t="inlineStr">
        <is>
          <t>High</t>
        </is>
      </c>
      <c r="K234" s="15" t="inlineStr">
        <is>
          <t>PASSED</t>
        </is>
      </c>
    </row>
    <row r="235" ht="20" customHeight="1">
      <c r="A235" s="16" t="inlineStr">
        <is>
          <t>TC_LOG_234</t>
        </is>
      </c>
      <c r="B235" s="17" t="inlineStr">
        <is>
          <t>Account Lockout &amp; Rate Limiting</t>
        </is>
      </c>
      <c r="C235" s="17" t="inlineStr">
        <is>
          <t>Verify rate limiting after 10 consecutive failed login attempts (Test #14)</t>
        </is>
      </c>
      <c r="D235" s="17" t="inlineStr">
        <is>
          <t>Active operator account 'admin'</t>
        </is>
      </c>
      <c r="E235" s="17" t="inlineStr">
        <is>
          <t>1. Submit incorrect password 10 times sequentially
2. Attempt 11th login attempt with correct password</t>
        </is>
      </c>
      <c r="F235" s="17" t="inlineStr">
        <is>
          <t>Attempt_Count=10, Target_Account=admin</t>
        </is>
      </c>
      <c r="G235" s="17" t="inlineStr">
        <is>
          <t>Rate limiter triggers HTTP 429 Too Many Requests or locks account temporarily for cooldown period.</t>
        </is>
      </c>
      <c r="H235" s="16" t="inlineStr">
        <is>
          <t>Manual</t>
        </is>
      </c>
      <c r="I235" s="16" t="inlineStr">
        <is>
          <t>P2</t>
        </is>
      </c>
      <c r="J235" s="16" t="inlineStr">
        <is>
          <t>High</t>
        </is>
      </c>
      <c r="K235" s="15" t="inlineStr">
        <is>
          <t>AUTOMATED</t>
        </is>
      </c>
    </row>
    <row r="236" ht="20" customHeight="1">
      <c r="A236" s="13" t="inlineStr">
        <is>
          <t>TC_LOG_235</t>
        </is>
      </c>
      <c r="B236" s="14" t="inlineStr">
        <is>
          <t>Account Lockout &amp; Rate Limiting</t>
        </is>
      </c>
      <c r="C236" s="14" t="inlineStr">
        <is>
          <t>Verify rate limiting after 10 consecutive failed login attempts (Test #15)</t>
        </is>
      </c>
      <c r="D236" s="14" t="inlineStr">
        <is>
          <t>Active operator account 'admin'</t>
        </is>
      </c>
      <c r="E236" s="14" t="inlineStr">
        <is>
          <t>1. Submit incorrect password 10 times sequentially
2. Attempt 11th login attempt with correct password</t>
        </is>
      </c>
      <c r="F236" s="14" t="inlineStr">
        <is>
          <t>Attempt_Count=10, Target_Account=admin</t>
        </is>
      </c>
      <c r="G236" s="14" t="inlineStr">
        <is>
          <t>Rate limiter triggers HTTP 429 Too Many Requests or locks account temporarily for cooldown period.</t>
        </is>
      </c>
      <c r="H236" s="13" t="inlineStr">
        <is>
          <t>Manual</t>
        </is>
      </c>
      <c r="I236" s="13" t="inlineStr">
        <is>
          <t>P2</t>
        </is>
      </c>
      <c r="J236" s="13" t="inlineStr">
        <is>
          <t>High</t>
        </is>
      </c>
      <c r="K236" s="15" t="inlineStr">
        <is>
          <t>PASSED</t>
        </is>
      </c>
    </row>
    <row r="237" ht="20" customHeight="1">
      <c r="A237" s="16" t="inlineStr">
        <is>
          <t>TC_LOG_236</t>
        </is>
      </c>
      <c r="B237" s="17" t="inlineStr">
        <is>
          <t>Account Lockout &amp; Rate Limiting</t>
        </is>
      </c>
      <c r="C237" s="17" t="inlineStr">
        <is>
          <t>Verify rate limiting after 10 consecutive failed login attempts (Test #16)</t>
        </is>
      </c>
      <c r="D237" s="17" t="inlineStr">
        <is>
          <t>Active operator account 'admin'</t>
        </is>
      </c>
      <c r="E237" s="17" t="inlineStr">
        <is>
          <t>1. Submit incorrect password 10 times sequentially
2. Attempt 11th login attempt with correct password</t>
        </is>
      </c>
      <c r="F237" s="17" t="inlineStr">
        <is>
          <t>Attempt_Count=10, Target_Account=admin</t>
        </is>
      </c>
      <c r="G237" s="17" t="inlineStr">
        <is>
          <t>Rate limiter triggers HTTP 429 Too Many Requests or locks account temporarily for cooldown period.</t>
        </is>
      </c>
      <c r="H237" s="16" t="inlineStr">
        <is>
          <t>Manual</t>
        </is>
      </c>
      <c r="I237" s="16" t="inlineStr">
        <is>
          <t>P2</t>
        </is>
      </c>
      <c r="J237" s="16" t="inlineStr">
        <is>
          <t>High</t>
        </is>
      </c>
      <c r="K237" s="15" t="inlineStr">
        <is>
          <t>AUTOMATED</t>
        </is>
      </c>
    </row>
    <row r="238" ht="20" customHeight="1">
      <c r="A238" s="13" t="inlineStr">
        <is>
          <t>TC_LOG_237</t>
        </is>
      </c>
      <c r="B238" s="14" t="inlineStr">
        <is>
          <t>Account Lockout &amp; Rate Limiting</t>
        </is>
      </c>
      <c r="C238" s="14" t="inlineStr">
        <is>
          <t>Verify rate limiting after 10 consecutive failed login attempts (Test #17)</t>
        </is>
      </c>
      <c r="D238" s="14" t="inlineStr">
        <is>
          <t>Active operator account 'admin'</t>
        </is>
      </c>
      <c r="E238" s="14" t="inlineStr">
        <is>
          <t>1. Submit incorrect password 10 times sequentially
2. Attempt 11th login attempt with correct password</t>
        </is>
      </c>
      <c r="F238" s="14" t="inlineStr">
        <is>
          <t>Attempt_Count=10, Target_Account=admin</t>
        </is>
      </c>
      <c r="G238" s="14" t="inlineStr">
        <is>
          <t>Rate limiter triggers HTTP 429 Too Many Requests or locks account temporarily for cooldown period.</t>
        </is>
      </c>
      <c r="H238" s="13" t="inlineStr">
        <is>
          <t>Manual</t>
        </is>
      </c>
      <c r="I238" s="13" t="inlineStr">
        <is>
          <t>P2</t>
        </is>
      </c>
      <c r="J238" s="13" t="inlineStr">
        <is>
          <t>High</t>
        </is>
      </c>
      <c r="K238" s="15" t="inlineStr">
        <is>
          <t>PASSED</t>
        </is>
      </c>
    </row>
    <row r="239" ht="20" customHeight="1">
      <c r="A239" s="16" t="inlineStr">
        <is>
          <t>TC_LOG_238</t>
        </is>
      </c>
      <c r="B239" s="17" t="inlineStr">
        <is>
          <t>Account Lockout &amp; Rate Limiting</t>
        </is>
      </c>
      <c r="C239" s="17" t="inlineStr">
        <is>
          <t>Verify rate limiting after 10 consecutive failed login attempts (Test #18)</t>
        </is>
      </c>
      <c r="D239" s="17" t="inlineStr">
        <is>
          <t>Active operator account 'admin'</t>
        </is>
      </c>
      <c r="E239" s="17" t="inlineStr">
        <is>
          <t>1. Submit incorrect password 10 times sequentially
2. Attempt 11th login attempt with correct password</t>
        </is>
      </c>
      <c r="F239" s="17" t="inlineStr">
        <is>
          <t>Attempt_Count=10, Target_Account=admin</t>
        </is>
      </c>
      <c r="G239" s="17" t="inlineStr">
        <is>
          <t>Rate limiter triggers HTTP 429 Too Many Requests or locks account temporarily for cooldown period.</t>
        </is>
      </c>
      <c r="H239" s="16" t="inlineStr">
        <is>
          <t>Manual</t>
        </is>
      </c>
      <c r="I239" s="16" t="inlineStr">
        <is>
          <t>P2</t>
        </is>
      </c>
      <c r="J239" s="16" t="inlineStr">
        <is>
          <t>High</t>
        </is>
      </c>
      <c r="K239" s="15" t="inlineStr">
        <is>
          <t>AUTOMATED</t>
        </is>
      </c>
    </row>
    <row r="240" ht="20" customHeight="1">
      <c r="A240" s="13" t="inlineStr">
        <is>
          <t>TC_LOG_239</t>
        </is>
      </c>
      <c r="B240" s="14" t="inlineStr">
        <is>
          <t>Account Lockout &amp; Rate Limiting</t>
        </is>
      </c>
      <c r="C240" s="14" t="inlineStr">
        <is>
          <t>Verify rate limiting after 10 consecutive failed login attempts (Test #19)</t>
        </is>
      </c>
      <c r="D240" s="14" t="inlineStr">
        <is>
          <t>Active operator account 'admin'</t>
        </is>
      </c>
      <c r="E240" s="14" t="inlineStr">
        <is>
          <t>1. Submit incorrect password 10 times sequentially
2. Attempt 11th login attempt with correct password</t>
        </is>
      </c>
      <c r="F240" s="14" t="inlineStr">
        <is>
          <t>Attempt_Count=10, Target_Account=admin</t>
        </is>
      </c>
      <c r="G240" s="14" t="inlineStr">
        <is>
          <t>Rate limiter triggers HTTP 429 Too Many Requests or locks account temporarily for cooldown period.</t>
        </is>
      </c>
      <c r="H240" s="13" t="inlineStr">
        <is>
          <t>Manual</t>
        </is>
      </c>
      <c r="I240" s="13" t="inlineStr">
        <is>
          <t>P2</t>
        </is>
      </c>
      <c r="J240" s="13" t="inlineStr">
        <is>
          <t>High</t>
        </is>
      </c>
      <c r="K240" s="15" t="inlineStr">
        <is>
          <t>PASSED</t>
        </is>
      </c>
    </row>
    <row r="241" ht="20" customHeight="1">
      <c r="A241" s="16" t="inlineStr">
        <is>
          <t>TC_LOG_240</t>
        </is>
      </c>
      <c r="B241" s="17" t="inlineStr">
        <is>
          <t>Account Lockout &amp; Rate Limiting</t>
        </is>
      </c>
      <c r="C241" s="17" t="inlineStr">
        <is>
          <t>Verify rate limiting after 10 consecutive failed login attempts (Test #20)</t>
        </is>
      </c>
      <c r="D241" s="17" t="inlineStr">
        <is>
          <t>Active operator account 'admin'</t>
        </is>
      </c>
      <c r="E241" s="17" t="inlineStr">
        <is>
          <t>1. Submit incorrect password 10 times sequentially
2. Attempt 11th login attempt with correct password</t>
        </is>
      </c>
      <c r="F241" s="17" t="inlineStr">
        <is>
          <t>Attempt_Count=10, Target_Account=admin</t>
        </is>
      </c>
      <c r="G241" s="17" t="inlineStr">
        <is>
          <t>Rate limiter triggers HTTP 429 Too Many Requests or locks account temporarily for cooldown period.</t>
        </is>
      </c>
      <c r="H241" s="16" t="inlineStr">
        <is>
          <t>Manual</t>
        </is>
      </c>
      <c r="I241" s="16" t="inlineStr">
        <is>
          <t>P2</t>
        </is>
      </c>
      <c r="J241" s="16" t="inlineStr">
        <is>
          <t>High</t>
        </is>
      </c>
      <c r="K241" s="15" t="inlineStr">
        <is>
          <t>AUTOMATED</t>
        </is>
      </c>
    </row>
    <row r="242" ht="20" customHeight="1">
      <c r="A242" s="13" t="inlineStr">
        <is>
          <t>TC_LOG_241</t>
        </is>
      </c>
      <c r="B242" s="14" t="inlineStr">
        <is>
          <t>Keyboard &amp; Accessibility</t>
        </is>
      </c>
      <c r="C242" s="14" t="inlineStr">
        <is>
          <t>Verify Accessibility: Tab key navigation order (Username -&gt; Password -&gt; Submit)</t>
        </is>
      </c>
      <c r="D242" s="14" t="inlineStr">
        <is>
          <t>Login page loaded</t>
        </is>
      </c>
      <c r="E242" s="14" t="inlineStr">
        <is>
          <t>1. Navigate to login form
2. Test keyboard/a11y feature (Tab key navigation order (Username -&gt; Password -&gt; Submit))
3. Validate WCAG compliance</t>
        </is>
      </c>
      <c r="F242" s="14" t="inlineStr">
        <is>
          <t>A11y_Test=Tab key navigation order (Username -&gt; Password -&gt; Submit)</t>
        </is>
      </c>
      <c r="G242" s="14" t="inlineStr">
        <is>
          <t>Meets accessibility standards. Focus moves in logical DOM reading order.</t>
        </is>
      </c>
      <c r="H242" s="13" t="inlineStr">
        <is>
          <t>Automated (Selenium)</t>
        </is>
      </c>
      <c r="I242" s="13" t="inlineStr">
        <is>
          <t>P2</t>
        </is>
      </c>
      <c r="J242" s="13" t="inlineStr">
        <is>
          <t>Medium</t>
        </is>
      </c>
      <c r="K242" s="15" t="inlineStr">
        <is>
          <t>PASSED</t>
        </is>
      </c>
    </row>
    <row r="243" ht="20" customHeight="1">
      <c r="A243" s="16" t="inlineStr">
        <is>
          <t>TC_LOG_242</t>
        </is>
      </c>
      <c r="B243" s="17" t="inlineStr">
        <is>
          <t>Keyboard &amp; Accessibility</t>
        </is>
      </c>
      <c r="C243" s="17" t="inlineStr">
        <is>
          <t>Verify Accessibility: Shift+Tab reverse keyboard navigation</t>
        </is>
      </c>
      <c r="D243" s="17" t="inlineStr">
        <is>
          <t>Login page loaded</t>
        </is>
      </c>
      <c r="E243" s="17" t="inlineStr">
        <is>
          <t>1. Navigate to login form
2. Test keyboard/a11y feature (Shift+Tab reverse keyboard navigation)
3. Validate WCAG compliance</t>
        </is>
      </c>
      <c r="F243" s="17" t="inlineStr">
        <is>
          <t>A11y_Test=Shift+Tab reverse keyboard navigation</t>
        </is>
      </c>
      <c r="G243" s="17" t="inlineStr">
        <is>
          <t>Meets accessibility standards. Focus moves backwards from Submit to Password to Username.</t>
        </is>
      </c>
      <c r="H243" s="16" t="inlineStr">
        <is>
          <t>Automated (Selenium)</t>
        </is>
      </c>
      <c r="I243" s="16" t="inlineStr">
        <is>
          <t>P2</t>
        </is>
      </c>
      <c r="J243" s="16" t="inlineStr">
        <is>
          <t>Medium</t>
        </is>
      </c>
      <c r="K243" s="15" t="inlineStr">
        <is>
          <t>PASSED</t>
        </is>
      </c>
    </row>
    <row r="244" ht="20" customHeight="1">
      <c r="A244" s="13" t="inlineStr">
        <is>
          <t>TC_LOG_243</t>
        </is>
      </c>
      <c r="B244" s="14" t="inlineStr">
        <is>
          <t>Keyboard &amp; Accessibility</t>
        </is>
      </c>
      <c r="C244" s="14" t="inlineStr">
        <is>
          <t>Verify Accessibility: Submit form using ENTER key from Username field</t>
        </is>
      </c>
      <c r="D244" s="14" t="inlineStr">
        <is>
          <t>Login page loaded</t>
        </is>
      </c>
      <c r="E244" s="14" t="inlineStr">
        <is>
          <t>1. Navigate to login form
2. Test keyboard/a11y feature (Submit form using ENTER key from Username field)
3. Validate WCAG compliance</t>
        </is>
      </c>
      <c r="F244" s="14" t="inlineStr">
        <is>
          <t>A11y_Test=Submit form using ENTER key from Username field</t>
        </is>
      </c>
      <c r="G244" s="14" t="inlineStr">
        <is>
          <t>Meets accessibility standards. Triggers form submit action.</t>
        </is>
      </c>
      <c r="H244" s="13" t="inlineStr">
        <is>
          <t>Automated (Selenium)</t>
        </is>
      </c>
      <c r="I244" s="13" t="inlineStr">
        <is>
          <t>P2</t>
        </is>
      </c>
      <c r="J244" s="13" t="inlineStr">
        <is>
          <t>Medium</t>
        </is>
      </c>
      <c r="K244" s="15" t="inlineStr">
        <is>
          <t>PASSED</t>
        </is>
      </c>
    </row>
    <row r="245" ht="20" customHeight="1">
      <c r="A245" s="16" t="inlineStr">
        <is>
          <t>TC_LOG_244</t>
        </is>
      </c>
      <c r="B245" s="17" t="inlineStr">
        <is>
          <t>Keyboard &amp; Accessibility</t>
        </is>
      </c>
      <c r="C245" s="17" t="inlineStr">
        <is>
          <t>Verify Accessibility: Submit form using ENTER key from Password field</t>
        </is>
      </c>
      <c r="D245" s="17" t="inlineStr">
        <is>
          <t>Login page loaded</t>
        </is>
      </c>
      <c r="E245" s="17" t="inlineStr">
        <is>
          <t>1. Navigate to login form
2. Test keyboard/a11y feature (Submit form using ENTER key from Password field)
3. Validate WCAG compliance</t>
        </is>
      </c>
      <c r="F245" s="17" t="inlineStr">
        <is>
          <t>A11y_Test=Submit form using ENTER key from Password field</t>
        </is>
      </c>
      <c r="G245" s="17" t="inlineStr">
        <is>
          <t>Meets accessibility standards. Triggers form submit action.</t>
        </is>
      </c>
      <c r="H245" s="16" t="inlineStr">
        <is>
          <t>Automated (Selenium)</t>
        </is>
      </c>
      <c r="I245" s="16" t="inlineStr">
        <is>
          <t>P2</t>
        </is>
      </c>
      <c r="J245" s="16" t="inlineStr">
        <is>
          <t>Medium</t>
        </is>
      </c>
      <c r="K245" s="15" t="inlineStr">
        <is>
          <t>PASSED</t>
        </is>
      </c>
    </row>
    <row r="246" ht="20" customHeight="1">
      <c r="A246" s="13" t="inlineStr">
        <is>
          <t>TC_LOG_245</t>
        </is>
      </c>
      <c r="B246" s="14" t="inlineStr">
        <is>
          <t>Keyboard &amp; Accessibility</t>
        </is>
      </c>
      <c r="C246" s="14" t="inlineStr">
        <is>
          <t>Verify Accessibility: Submit form using SPACE key on Submit button</t>
        </is>
      </c>
      <c r="D246" s="14" t="inlineStr">
        <is>
          <t>Login page loaded</t>
        </is>
      </c>
      <c r="E246" s="14" t="inlineStr">
        <is>
          <t>1. Navigate to login form
2. Test keyboard/a11y feature (Submit form using SPACE key on Submit button)
3. Validate WCAG compliance</t>
        </is>
      </c>
      <c r="F246" s="14" t="inlineStr">
        <is>
          <t>A11y_Test=Submit form using SPACE key on Submit button</t>
        </is>
      </c>
      <c r="G246" s="14" t="inlineStr">
        <is>
          <t>Meets accessibility standards. Triggers form submit action.</t>
        </is>
      </c>
      <c r="H246" s="13" t="inlineStr">
        <is>
          <t>Automated (Selenium)</t>
        </is>
      </c>
      <c r="I246" s="13" t="inlineStr">
        <is>
          <t>P2</t>
        </is>
      </c>
      <c r="J246" s="13" t="inlineStr">
        <is>
          <t>Medium</t>
        </is>
      </c>
      <c r="K246" s="15" t="inlineStr">
        <is>
          <t>PASSED</t>
        </is>
      </c>
    </row>
    <row r="247" ht="20" customHeight="1">
      <c r="A247" s="16" t="inlineStr">
        <is>
          <t>TC_LOG_246</t>
        </is>
      </c>
      <c r="B247" s="17" t="inlineStr">
        <is>
          <t>Keyboard &amp; Accessibility</t>
        </is>
      </c>
      <c r="C247" s="17" t="inlineStr">
        <is>
          <t>Verify Accessibility: ARIA label attribute on Username input</t>
        </is>
      </c>
      <c r="D247" s="17" t="inlineStr">
        <is>
          <t>Login page loaded</t>
        </is>
      </c>
      <c r="E247" s="17" t="inlineStr">
        <is>
          <t>1. Navigate to login form
2. Test keyboard/a11y feature (ARIA label attribute on Username input)
3. Validate WCAG compliance</t>
        </is>
      </c>
      <c r="F247" s="17" t="inlineStr">
        <is>
          <t>A11y_Test=ARIA label attribute on Username input</t>
        </is>
      </c>
      <c r="G247" s="17" t="inlineStr">
        <is>
          <t>Meets accessibility standards. Contains aria-label or aria-labelledby attribute.</t>
        </is>
      </c>
      <c r="H247" s="16" t="inlineStr">
        <is>
          <t>Automated (Selenium)</t>
        </is>
      </c>
      <c r="I247" s="16" t="inlineStr">
        <is>
          <t>P2</t>
        </is>
      </c>
      <c r="J247" s="16" t="inlineStr">
        <is>
          <t>Medium</t>
        </is>
      </c>
      <c r="K247" s="15" t="inlineStr">
        <is>
          <t>PASSED</t>
        </is>
      </c>
    </row>
    <row r="248" ht="20" customHeight="1">
      <c r="A248" s="13" t="inlineStr">
        <is>
          <t>TC_LOG_247</t>
        </is>
      </c>
      <c r="B248" s="14" t="inlineStr">
        <is>
          <t>Keyboard &amp; Accessibility</t>
        </is>
      </c>
      <c r="C248" s="14" t="inlineStr">
        <is>
          <t>Verify Accessibility: ARIA label attribute on Password input</t>
        </is>
      </c>
      <c r="D248" s="14" t="inlineStr">
        <is>
          <t>Login page loaded</t>
        </is>
      </c>
      <c r="E248" s="14" t="inlineStr">
        <is>
          <t>1. Navigate to login form
2. Test keyboard/a11y feature (ARIA label attribute on Password input)
3. Validate WCAG compliance</t>
        </is>
      </c>
      <c r="F248" s="14" t="inlineStr">
        <is>
          <t>A11y_Test=ARIA label attribute on Password input</t>
        </is>
      </c>
      <c r="G248" s="14" t="inlineStr">
        <is>
          <t>Meets accessibility standards. Contains aria-label or aria-labelledby attribute.</t>
        </is>
      </c>
      <c r="H248" s="13" t="inlineStr">
        <is>
          <t>Automated (Selenium)</t>
        </is>
      </c>
      <c r="I248" s="13" t="inlineStr">
        <is>
          <t>P2</t>
        </is>
      </c>
      <c r="J248" s="13" t="inlineStr">
        <is>
          <t>Medium</t>
        </is>
      </c>
      <c r="K248" s="15" t="inlineStr">
        <is>
          <t>PASSED</t>
        </is>
      </c>
    </row>
    <row r="249" ht="20" customHeight="1">
      <c r="A249" s="16" t="inlineStr">
        <is>
          <t>TC_LOG_248</t>
        </is>
      </c>
      <c r="B249" s="17" t="inlineStr">
        <is>
          <t>Keyboard &amp; Accessibility</t>
        </is>
      </c>
      <c r="C249" s="17" t="inlineStr">
        <is>
          <t>Verify Accessibility: ARIA invalid attribute on error state</t>
        </is>
      </c>
      <c r="D249" s="17" t="inlineStr">
        <is>
          <t>Login page loaded</t>
        </is>
      </c>
      <c r="E249" s="17" t="inlineStr">
        <is>
          <t>1. Navigate to login form
2. Test keyboard/a11y feature (ARIA invalid attribute on error state)
3. Validate WCAG compliance</t>
        </is>
      </c>
      <c r="F249" s="17" t="inlineStr">
        <is>
          <t>A11y_Test=ARIA invalid attribute on error state</t>
        </is>
      </c>
      <c r="G249" s="17" t="inlineStr">
        <is>
          <t>Meets accessibility standards. Sets aria-invalid='true' on failed validation.</t>
        </is>
      </c>
      <c r="H249" s="16" t="inlineStr">
        <is>
          <t>Automated (Selenium)</t>
        </is>
      </c>
      <c r="I249" s="16" t="inlineStr">
        <is>
          <t>P2</t>
        </is>
      </c>
      <c r="J249" s="16" t="inlineStr">
        <is>
          <t>Medium</t>
        </is>
      </c>
      <c r="K249" s="15" t="inlineStr">
        <is>
          <t>PASSED</t>
        </is>
      </c>
    </row>
    <row r="250" ht="20" customHeight="1">
      <c r="A250" s="13" t="inlineStr">
        <is>
          <t>TC_LOG_249</t>
        </is>
      </c>
      <c r="B250" s="14" t="inlineStr">
        <is>
          <t>Keyboard &amp; Accessibility</t>
        </is>
      </c>
      <c r="C250" s="14" t="inlineStr">
        <is>
          <t>Verify Accessibility: ARIA live region for error announcements</t>
        </is>
      </c>
      <c r="D250" s="14" t="inlineStr">
        <is>
          <t>Login page loaded</t>
        </is>
      </c>
      <c r="E250" s="14" t="inlineStr">
        <is>
          <t>1. Navigate to login form
2. Test keyboard/a11y feature (ARIA live region for error announcements)
3. Validate WCAG compliance</t>
        </is>
      </c>
      <c r="F250" s="14" t="inlineStr">
        <is>
          <t>A11y_Test=ARIA live region for error announcements</t>
        </is>
      </c>
      <c r="G250" s="14" t="inlineStr">
        <is>
          <t>Meets accessibility standards. Error container uses role='alert' or aria-live='assertive'.</t>
        </is>
      </c>
      <c r="H250" s="13" t="inlineStr">
        <is>
          <t>Automated (Selenium)</t>
        </is>
      </c>
      <c r="I250" s="13" t="inlineStr">
        <is>
          <t>P2</t>
        </is>
      </c>
      <c r="J250" s="13" t="inlineStr">
        <is>
          <t>Medium</t>
        </is>
      </c>
      <c r="K250" s="15" t="inlineStr">
        <is>
          <t>AUTOMATED</t>
        </is>
      </c>
    </row>
    <row r="251" ht="20" customHeight="1">
      <c r="A251" s="16" t="inlineStr">
        <is>
          <t>TC_LOG_250</t>
        </is>
      </c>
      <c r="B251" s="17" t="inlineStr">
        <is>
          <t>Keyboard &amp; Accessibility</t>
        </is>
      </c>
      <c r="C251" s="17" t="inlineStr">
        <is>
          <t>Verify Accessibility: Screen reader reading of form field labels</t>
        </is>
      </c>
      <c r="D251" s="17" t="inlineStr">
        <is>
          <t>Login page loaded</t>
        </is>
      </c>
      <c r="E251" s="17" t="inlineStr">
        <is>
          <t>1. Navigate to login form
2. Test keyboard/a11y feature (Screen reader reading of form field labels)
3. Validate WCAG compliance</t>
        </is>
      </c>
      <c r="F251" s="17" t="inlineStr">
        <is>
          <t>A11y_Test=Screen reader reading of form field labels</t>
        </is>
      </c>
      <c r="G251" s="17" t="inlineStr">
        <is>
          <t>Meets accessibility standards. Screen readers announce input field purpose accurately.</t>
        </is>
      </c>
      <c r="H251" s="16" t="inlineStr">
        <is>
          <t>Automated (Selenium)</t>
        </is>
      </c>
      <c r="I251" s="16" t="inlineStr">
        <is>
          <t>P2</t>
        </is>
      </c>
      <c r="J251" s="16" t="inlineStr">
        <is>
          <t>Medium</t>
        </is>
      </c>
      <c r="K251" s="15" t="inlineStr">
        <is>
          <t>AUTOMATED</t>
        </is>
      </c>
    </row>
    <row r="252" ht="20" customHeight="1">
      <c r="A252" s="13" t="inlineStr">
        <is>
          <t>TC_LOG_251</t>
        </is>
      </c>
      <c r="B252" s="14" t="inlineStr">
        <is>
          <t>Keyboard &amp; Accessibility</t>
        </is>
      </c>
      <c r="C252" s="14" t="inlineStr">
        <is>
          <t>Verify Accessibility: Color contrast ratio of form text against background</t>
        </is>
      </c>
      <c r="D252" s="14" t="inlineStr">
        <is>
          <t>Login page loaded</t>
        </is>
      </c>
      <c r="E252" s="14" t="inlineStr">
        <is>
          <t>1. Navigate to login form
2. Test keyboard/a11y feature (Color contrast ratio of form text against background)
3. Validate WCAG compliance</t>
        </is>
      </c>
      <c r="F252" s="14" t="inlineStr">
        <is>
          <t>A11y_Test=Color contrast ratio of form text against background</t>
        </is>
      </c>
      <c r="G252" s="14" t="inlineStr">
        <is>
          <t>Meets accessibility standards. Meets WCAG 2.1 AA contrast ratio standard (4.5:1).</t>
        </is>
      </c>
      <c r="H252" s="13" t="inlineStr">
        <is>
          <t>Manual</t>
        </is>
      </c>
      <c r="I252" s="13" t="inlineStr">
        <is>
          <t>P3</t>
        </is>
      </c>
      <c r="J252" s="13" t="inlineStr">
        <is>
          <t>Low</t>
        </is>
      </c>
      <c r="K252" s="15" t="inlineStr">
        <is>
          <t>AUTOMATED</t>
        </is>
      </c>
    </row>
    <row r="253" ht="20" customHeight="1">
      <c r="A253" s="16" t="inlineStr">
        <is>
          <t>TC_LOG_252</t>
        </is>
      </c>
      <c r="B253" s="17" t="inlineStr">
        <is>
          <t>Keyboard &amp; Accessibility</t>
        </is>
      </c>
      <c r="C253" s="17" t="inlineStr">
        <is>
          <t>Verify Accessibility: Color contrast ratio of error banner text</t>
        </is>
      </c>
      <c r="D253" s="17" t="inlineStr">
        <is>
          <t>Login page loaded</t>
        </is>
      </c>
      <c r="E253" s="17" t="inlineStr">
        <is>
          <t>1. Navigate to login form
2. Test keyboard/a11y feature (Color contrast ratio of error banner text)
3. Validate WCAG compliance</t>
        </is>
      </c>
      <c r="F253" s="17" t="inlineStr">
        <is>
          <t>A11y_Test=Color contrast ratio of error banner text</t>
        </is>
      </c>
      <c r="G253" s="17" t="inlineStr">
        <is>
          <t>Meets accessibility standards. Meets WCAG 2.1 AA contrast ratio standard.</t>
        </is>
      </c>
      <c r="H253" s="16" t="inlineStr">
        <is>
          <t>Manual</t>
        </is>
      </c>
      <c r="I253" s="16" t="inlineStr">
        <is>
          <t>P3</t>
        </is>
      </c>
      <c r="J253" s="16" t="inlineStr">
        <is>
          <t>Low</t>
        </is>
      </c>
      <c r="K253" s="15" t="inlineStr">
        <is>
          <t>AUTOMATED</t>
        </is>
      </c>
    </row>
    <row r="254" ht="20" customHeight="1">
      <c r="A254" s="13" t="inlineStr">
        <is>
          <t>TC_LOG_253</t>
        </is>
      </c>
      <c r="B254" s="14" t="inlineStr">
        <is>
          <t>Keyboard &amp; Accessibility</t>
        </is>
      </c>
      <c r="C254" s="14" t="inlineStr">
        <is>
          <t>Verify Accessibility: Visible focus indicator outline on all elements</t>
        </is>
      </c>
      <c r="D254" s="14" t="inlineStr">
        <is>
          <t>Login page loaded</t>
        </is>
      </c>
      <c r="E254" s="14" t="inlineStr">
        <is>
          <t>1. Navigate to login form
2. Test keyboard/a11y feature (Visible focus indicator outline on all elements)
3. Validate WCAG compliance</t>
        </is>
      </c>
      <c r="F254" s="14" t="inlineStr">
        <is>
          <t>A11y_Test=Visible focus indicator outline on all elements</t>
        </is>
      </c>
      <c r="G254" s="14" t="inlineStr">
        <is>
          <t>Meets accessibility standards. Focus indicator visible with high contrast outline.</t>
        </is>
      </c>
      <c r="H254" s="13" t="inlineStr">
        <is>
          <t>Manual</t>
        </is>
      </c>
      <c r="I254" s="13" t="inlineStr">
        <is>
          <t>P3</t>
        </is>
      </c>
      <c r="J254" s="13" t="inlineStr">
        <is>
          <t>Low</t>
        </is>
      </c>
      <c r="K254" s="15" t="inlineStr">
        <is>
          <t>AUTOMATED</t>
        </is>
      </c>
    </row>
    <row r="255" ht="20" customHeight="1">
      <c r="A255" s="16" t="inlineStr">
        <is>
          <t>TC_LOG_254</t>
        </is>
      </c>
      <c r="B255" s="17" t="inlineStr">
        <is>
          <t>Keyboard &amp; Accessibility</t>
        </is>
      </c>
      <c r="C255" s="17" t="inlineStr">
        <is>
          <t>Verify Accessibility: Form usability without mouse (Keyboard Only)</t>
        </is>
      </c>
      <c r="D255" s="17" t="inlineStr">
        <is>
          <t>Login page loaded</t>
        </is>
      </c>
      <c r="E255" s="17" t="inlineStr">
        <is>
          <t>1. Navigate to login form
2. Test keyboard/a11y feature (Form usability without mouse (Keyboard Only))
3. Validate WCAG compliance</t>
        </is>
      </c>
      <c r="F255" s="17" t="inlineStr">
        <is>
          <t>A11y_Test=Form usability without mouse (Keyboard Only)</t>
        </is>
      </c>
      <c r="G255" s="17" t="inlineStr">
        <is>
          <t>Meets accessibility standards. Complete login flow operable exclusively via keyboard.</t>
        </is>
      </c>
      <c r="H255" s="16" t="inlineStr">
        <is>
          <t>Manual</t>
        </is>
      </c>
      <c r="I255" s="16" t="inlineStr">
        <is>
          <t>P3</t>
        </is>
      </c>
      <c r="J255" s="16" t="inlineStr">
        <is>
          <t>Low</t>
        </is>
      </c>
      <c r="K255" s="15" t="inlineStr">
        <is>
          <t>AUTOMATED</t>
        </is>
      </c>
    </row>
    <row r="256" ht="20" customHeight="1">
      <c r="A256" s="13" t="inlineStr">
        <is>
          <t>TC_LOG_255</t>
        </is>
      </c>
      <c r="B256" s="14" t="inlineStr">
        <is>
          <t>Keyboard &amp; Accessibility</t>
        </is>
      </c>
      <c r="C256" s="14" t="inlineStr">
        <is>
          <t>Verify Accessibility: High DPI screen scaling at 200%</t>
        </is>
      </c>
      <c r="D256" s="14" t="inlineStr">
        <is>
          <t>Login page loaded</t>
        </is>
      </c>
      <c r="E256" s="14" t="inlineStr">
        <is>
          <t>1. Navigate to login form
2. Test keyboard/a11y feature (High DPI screen scaling at 200%)
3. Validate WCAG compliance</t>
        </is>
      </c>
      <c r="F256" s="14" t="inlineStr">
        <is>
          <t>A11y_Test=High DPI screen scaling at 200%</t>
        </is>
      </c>
      <c r="G256" s="14" t="inlineStr">
        <is>
          <t>Meets accessibility standards. Form elements remain readable without overlapping.</t>
        </is>
      </c>
      <c r="H256" s="13" t="inlineStr">
        <is>
          <t>Manual</t>
        </is>
      </c>
      <c r="I256" s="13" t="inlineStr">
        <is>
          <t>P3</t>
        </is>
      </c>
      <c r="J256" s="13" t="inlineStr">
        <is>
          <t>Low</t>
        </is>
      </c>
      <c r="K256" s="15" t="inlineStr">
        <is>
          <t>AUTOMATED</t>
        </is>
      </c>
    </row>
    <row r="257" ht="20" customHeight="1">
      <c r="A257" s="16" t="inlineStr">
        <is>
          <t>TC_LOG_256</t>
        </is>
      </c>
      <c r="B257" s="17" t="inlineStr">
        <is>
          <t>Keyboard &amp; Accessibility</t>
        </is>
      </c>
      <c r="C257" s="17" t="inlineStr">
        <is>
          <t>Verify Accessibility: Browser zoom at 400% zoom level</t>
        </is>
      </c>
      <c r="D257" s="17" t="inlineStr">
        <is>
          <t>Login page loaded</t>
        </is>
      </c>
      <c r="E257" s="17" t="inlineStr">
        <is>
          <t>1. Navigate to login form
2. Test keyboard/a11y feature (Browser zoom at 400% zoom level)
3. Validate WCAG compliance</t>
        </is>
      </c>
      <c r="F257" s="17" t="inlineStr">
        <is>
          <t>A11y_Test=Browser zoom at 400% zoom level</t>
        </is>
      </c>
      <c r="G257" s="17" t="inlineStr">
        <is>
          <t>Meets accessibility standards. Layout reflows cleanly without breaking functionality.</t>
        </is>
      </c>
      <c r="H257" s="16" t="inlineStr">
        <is>
          <t>Manual</t>
        </is>
      </c>
      <c r="I257" s="16" t="inlineStr">
        <is>
          <t>P3</t>
        </is>
      </c>
      <c r="J257" s="16" t="inlineStr">
        <is>
          <t>Low</t>
        </is>
      </c>
      <c r="K257" s="15" t="inlineStr">
        <is>
          <t>AUTOMATED</t>
        </is>
      </c>
    </row>
    <row r="258" ht="20" customHeight="1">
      <c r="A258" s="13" t="inlineStr">
        <is>
          <t>TC_LOG_257</t>
        </is>
      </c>
      <c r="B258" s="14" t="inlineStr">
        <is>
          <t>Keyboard &amp; Accessibility</t>
        </is>
      </c>
      <c r="C258" s="14" t="inlineStr">
        <is>
          <t>Verify Accessibility: Touch screen tap target size (Minimum 44x44 px)</t>
        </is>
      </c>
      <c r="D258" s="14" t="inlineStr">
        <is>
          <t>Login page loaded</t>
        </is>
      </c>
      <c r="E258" s="14" t="inlineStr">
        <is>
          <t>1. Navigate to login form
2. Test keyboard/a11y feature (Touch screen tap target size (Minimum 44x44 px))
3. Validate WCAG compliance</t>
        </is>
      </c>
      <c r="F258" s="14" t="inlineStr">
        <is>
          <t>A11y_Test=Touch screen tap target size (Minimum 44x44 px)</t>
        </is>
      </c>
      <c r="G258" s="14" t="inlineStr">
        <is>
          <t>Meets accessibility standards. Buttons and inputs satisfy minimum touch target size.</t>
        </is>
      </c>
      <c r="H258" s="13" t="inlineStr">
        <is>
          <t>Manual</t>
        </is>
      </c>
      <c r="I258" s="13" t="inlineStr">
        <is>
          <t>P3</t>
        </is>
      </c>
      <c r="J258" s="13" t="inlineStr">
        <is>
          <t>Low</t>
        </is>
      </c>
      <c r="K258" s="15" t="inlineStr">
        <is>
          <t>AUTOMATED</t>
        </is>
      </c>
    </row>
    <row r="259" ht="20" customHeight="1">
      <c r="A259" s="16" t="inlineStr">
        <is>
          <t>TC_LOG_258</t>
        </is>
      </c>
      <c r="B259" s="17" t="inlineStr">
        <is>
          <t>Keyboard &amp; Accessibility</t>
        </is>
      </c>
      <c r="C259" s="17" t="inlineStr">
        <is>
          <t>Verify Accessibility: Automated HTML validation (No duplicate IDs)</t>
        </is>
      </c>
      <c r="D259" s="17" t="inlineStr">
        <is>
          <t>Login page loaded</t>
        </is>
      </c>
      <c r="E259" s="17" t="inlineStr">
        <is>
          <t>1. Navigate to login form
2. Test keyboard/a11y feature (Automated HTML validation (No duplicate IDs))
3. Validate WCAG compliance</t>
        </is>
      </c>
      <c r="F259" s="17" t="inlineStr">
        <is>
          <t>A11y_Test=Automated HTML validation (No duplicate IDs)</t>
        </is>
      </c>
      <c r="G259" s="17" t="inlineStr">
        <is>
          <t>Meets accessibility standards. DOM IDs 'username', 'password' are unique on page.</t>
        </is>
      </c>
      <c r="H259" s="16" t="inlineStr">
        <is>
          <t>Manual</t>
        </is>
      </c>
      <c r="I259" s="16" t="inlineStr">
        <is>
          <t>P3</t>
        </is>
      </c>
      <c r="J259" s="16" t="inlineStr">
        <is>
          <t>Low</t>
        </is>
      </c>
      <c r="K259" s="15" t="inlineStr">
        <is>
          <t>AUTOMATED</t>
        </is>
      </c>
    </row>
    <row r="260" ht="20" customHeight="1">
      <c r="A260" s="13" t="inlineStr">
        <is>
          <t>TC_LOG_259</t>
        </is>
      </c>
      <c r="B260" s="14" t="inlineStr">
        <is>
          <t>Keyboard &amp; Accessibility</t>
        </is>
      </c>
      <c r="C260" s="14" t="inlineStr">
        <is>
          <t>Verify Accessibility: Form field autocomplete metadata for Assistive Tech</t>
        </is>
      </c>
      <c r="D260" s="14" t="inlineStr">
        <is>
          <t>Login page loaded</t>
        </is>
      </c>
      <c r="E260" s="14" t="inlineStr">
        <is>
          <t>1. Navigate to login form
2. Test keyboard/a11y feature (Form field autocomplete metadata for Assistive Tech)
3. Validate WCAG compliance</t>
        </is>
      </c>
      <c r="F260" s="14" t="inlineStr">
        <is>
          <t>A11y_Test=Form field autocomplete metadata for Assistive Tech</t>
        </is>
      </c>
      <c r="G260" s="14" t="inlineStr">
        <is>
          <t>Meets accessibility standards. Supports password manager assistive extensions.</t>
        </is>
      </c>
      <c r="H260" s="13" t="inlineStr">
        <is>
          <t>Manual</t>
        </is>
      </c>
      <c r="I260" s="13" t="inlineStr">
        <is>
          <t>P3</t>
        </is>
      </c>
      <c r="J260" s="13" t="inlineStr">
        <is>
          <t>Low</t>
        </is>
      </c>
      <c r="K260" s="15" t="inlineStr">
        <is>
          <t>AUTOMATED</t>
        </is>
      </c>
    </row>
    <row r="261" ht="20" customHeight="1">
      <c r="A261" s="16" t="inlineStr">
        <is>
          <t>TC_LOG_260</t>
        </is>
      </c>
      <c r="B261" s="17" t="inlineStr">
        <is>
          <t>Keyboard &amp; Accessibility</t>
        </is>
      </c>
      <c r="C261" s="17" t="inlineStr">
        <is>
          <t>Verify Accessibility: Reduced Motion OS preference support</t>
        </is>
      </c>
      <c r="D261" s="17" t="inlineStr">
        <is>
          <t>Login page loaded</t>
        </is>
      </c>
      <c r="E261" s="17" t="inlineStr">
        <is>
          <t>1. Navigate to login form
2. Test keyboard/a11y feature (Reduced Motion OS preference support)
3. Validate WCAG compliance</t>
        </is>
      </c>
      <c r="F261" s="17" t="inlineStr">
        <is>
          <t>A11y_Test=Reduced Motion OS preference support</t>
        </is>
      </c>
      <c r="G261" s="17" t="inlineStr">
        <is>
          <t>Meets accessibility standards. Disables CSS transition animations when prefers-reduced-motion active.</t>
        </is>
      </c>
      <c r="H261" s="16" t="inlineStr">
        <is>
          <t>Manual</t>
        </is>
      </c>
      <c r="I261" s="16" t="inlineStr">
        <is>
          <t>P3</t>
        </is>
      </c>
      <c r="J261" s="16" t="inlineStr">
        <is>
          <t>Low</t>
        </is>
      </c>
      <c r="K261" s="15" t="inlineStr">
        <is>
          <t>AUTOMATED</t>
        </is>
      </c>
    </row>
    <row r="262" ht="20" customHeight="1">
      <c r="A262" s="13" t="inlineStr">
        <is>
          <t>TC_LOG_261</t>
        </is>
      </c>
      <c r="B262" s="14" t="inlineStr">
        <is>
          <t>Cross-Browser &amp; Responsiveness</t>
        </is>
      </c>
      <c r="C262" s="14" t="inlineStr">
        <is>
          <t>Verify login UI execution on Chrome Desktop (1920x1080)</t>
        </is>
      </c>
      <c r="D262" s="14" t="inlineStr">
        <is>
          <t>Browser driver initialized (Chrome)</t>
        </is>
      </c>
      <c r="E262" s="14" t="inlineStr">
        <is>
          <t>1. Set browser window viewport to 1920x1080
2. Navigate to /auth/login
3. Execute login flow</t>
        </is>
      </c>
      <c r="F262" s="14" t="inlineStr">
        <is>
          <t>Browser=Chrome, Resolution=1920x1080</t>
        </is>
      </c>
      <c r="G262" s="14" t="inlineStr">
        <is>
          <t>Layout renders seamlessly without horizontal scrollbars, text clipping, or broken JS events.</t>
        </is>
      </c>
      <c r="H262" s="13" t="inlineStr">
        <is>
          <t>Automated (Selenium)</t>
        </is>
      </c>
      <c r="I262" s="13" t="inlineStr">
        <is>
          <t>P2</t>
        </is>
      </c>
      <c r="J262" s="13" t="inlineStr">
        <is>
          <t>Medium</t>
        </is>
      </c>
      <c r="K262" s="15" t="inlineStr">
        <is>
          <t>PASSED</t>
        </is>
      </c>
    </row>
    <row r="263" ht="20" customHeight="1">
      <c r="A263" s="16" t="inlineStr">
        <is>
          <t>TC_LOG_262</t>
        </is>
      </c>
      <c r="B263" s="17" t="inlineStr">
        <is>
          <t>Cross-Browser &amp; Responsiveness</t>
        </is>
      </c>
      <c r="C263" s="17" t="inlineStr">
        <is>
          <t>Verify login UI execution on Firefox Desktop (1920x1080)</t>
        </is>
      </c>
      <c r="D263" s="17" t="inlineStr">
        <is>
          <t>Browser driver initialized (Firefox)</t>
        </is>
      </c>
      <c r="E263" s="17" t="inlineStr">
        <is>
          <t>1. Set browser window viewport to 1920x1080
2. Navigate to /auth/login
3. Execute login flow</t>
        </is>
      </c>
      <c r="F263" s="17" t="inlineStr">
        <is>
          <t>Browser=Firefox, Resolution=1920x1080</t>
        </is>
      </c>
      <c r="G263" s="17" t="inlineStr">
        <is>
          <t>Layout renders seamlessly without horizontal scrollbars, text clipping, or broken JS events.</t>
        </is>
      </c>
      <c r="H263" s="16" t="inlineStr">
        <is>
          <t>Automated (Selenium)</t>
        </is>
      </c>
      <c r="I263" s="16" t="inlineStr">
        <is>
          <t>P2</t>
        </is>
      </c>
      <c r="J263" s="16" t="inlineStr">
        <is>
          <t>Medium</t>
        </is>
      </c>
      <c r="K263" s="15" t="inlineStr">
        <is>
          <t>PASSED</t>
        </is>
      </c>
    </row>
    <row r="264" ht="20" customHeight="1">
      <c r="A264" s="13" t="inlineStr">
        <is>
          <t>TC_LOG_263</t>
        </is>
      </c>
      <c r="B264" s="14" t="inlineStr">
        <is>
          <t>Cross-Browser &amp; Responsiveness</t>
        </is>
      </c>
      <c r="C264" s="14" t="inlineStr">
        <is>
          <t>Verify login UI execution on Edge Desktop (1920x1080)</t>
        </is>
      </c>
      <c r="D264" s="14" t="inlineStr">
        <is>
          <t>Browser driver initialized (Edge)</t>
        </is>
      </c>
      <c r="E264" s="14" t="inlineStr">
        <is>
          <t>1. Set browser window viewport to 1920x1080
2. Navigate to /auth/login
3. Execute login flow</t>
        </is>
      </c>
      <c r="F264" s="14" t="inlineStr">
        <is>
          <t>Browser=Edge, Resolution=1920x1080</t>
        </is>
      </c>
      <c r="G264" s="14" t="inlineStr">
        <is>
          <t>Layout renders seamlessly without horizontal scrollbars, text clipping, or broken JS events.</t>
        </is>
      </c>
      <c r="H264" s="13" t="inlineStr">
        <is>
          <t>Automated (Selenium)</t>
        </is>
      </c>
      <c r="I264" s="13" t="inlineStr">
        <is>
          <t>P2</t>
        </is>
      </c>
      <c r="J264" s="13" t="inlineStr">
        <is>
          <t>Medium</t>
        </is>
      </c>
      <c r="K264" s="15" t="inlineStr">
        <is>
          <t>PASSED</t>
        </is>
      </c>
    </row>
    <row r="265" ht="20" customHeight="1">
      <c r="A265" s="16" t="inlineStr">
        <is>
          <t>TC_LOG_264</t>
        </is>
      </c>
      <c r="B265" s="17" t="inlineStr">
        <is>
          <t>Cross-Browser &amp; Responsiveness</t>
        </is>
      </c>
      <c r="C265" s="17" t="inlineStr">
        <is>
          <t>Verify login UI execution on Safari Desktop (1440x900)</t>
        </is>
      </c>
      <c r="D265" s="17" t="inlineStr">
        <is>
          <t>Browser driver initialized (Safari)</t>
        </is>
      </c>
      <c r="E265" s="17" t="inlineStr">
        <is>
          <t>1. Set browser window viewport to 1440x900
2. Navigate to /auth/login
3. Execute login flow</t>
        </is>
      </c>
      <c r="F265" s="17" t="inlineStr">
        <is>
          <t>Browser=Safari, Resolution=1440x900</t>
        </is>
      </c>
      <c r="G265" s="17" t="inlineStr">
        <is>
          <t>Layout renders seamlessly without horizontal scrollbars, text clipping, or broken JS events.</t>
        </is>
      </c>
      <c r="H265" s="16" t="inlineStr">
        <is>
          <t>Automated (Selenium)</t>
        </is>
      </c>
      <c r="I265" s="16" t="inlineStr">
        <is>
          <t>P2</t>
        </is>
      </c>
      <c r="J265" s="16" t="inlineStr">
        <is>
          <t>Medium</t>
        </is>
      </c>
      <c r="K265" s="15" t="inlineStr">
        <is>
          <t>PASSED</t>
        </is>
      </c>
    </row>
    <row r="266" ht="20" customHeight="1">
      <c r="A266" s="13" t="inlineStr">
        <is>
          <t>TC_LOG_265</t>
        </is>
      </c>
      <c r="B266" s="14" t="inlineStr">
        <is>
          <t>Cross-Browser &amp; Responsiveness</t>
        </is>
      </c>
      <c r="C266" s="14" t="inlineStr">
        <is>
          <t>Verify login UI execution on Chrome Tablet Viewport (768x1024)</t>
        </is>
      </c>
      <c r="D266" s="14" t="inlineStr">
        <is>
          <t>Browser driver initialized (Chrome)</t>
        </is>
      </c>
      <c r="E266" s="14" t="inlineStr">
        <is>
          <t>1. Set browser window viewport to 768x1024
2. Navigate to /auth/login
3. Execute login flow</t>
        </is>
      </c>
      <c r="F266" s="14" t="inlineStr">
        <is>
          <t>Browser=Chrome, Resolution=768x1024</t>
        </is>
      </c>
      <c r="G266" s="14" t="inlineStr">
        <is>
          <t>Layout renders seamlessly without horizontal scrollbars, text clipping, or broken JS events.</t>
        </is>
      </c>
      <c r="H266" s="13" t="inlineStr">
        <is>
          <t>Automated (Selenium)</t>
        </is>
      </c>
      <c r="I266" s="13" t="inlineStr">
        <is>
          <t>P2</t>
        </is>
      </c>
      <c r="J266" s="13" t="inlineStr">
        <is>
          <t>Medium</t>
        </is>
      </c>
      <c r="K266" s="15" t="inlineStr">
        <is>
          <t>PASSED</t>
        </is>
      </c>
    </row>
    <row r="267" ht="20" customHeight="1">
      <c r="A267" s="16" t="inlineStr">
        <is>
          <t>TC_LOG_266</t>
        </is>
      </c>
      <c r="B267" s="17" t="inlineStr">
        <is>
          <t>Cross-Browser &amp; Responsiveness</t>
        </is>
      </c>
      <c r="C267" s="17" t="inlineStr">
        <is>
          <t>Verify login UI execution on Safari iPad Viewport (834x1194)</t>
        </is>
      </c>
      <c r="D267" s="17" t="inlineStr">
        <is>
          <t>Browser driver initialized (Safari)</t>
        </is>
      </c>
      <c r="E267" s="17" t="inlineStr">
        <is>
          <t>1. Set browser window viewport to 834x1194
2. Navigate to /auth/login
3. Execute login flow</t>
        </is>
      </c>
      <c r="F267" s="17" t="inlineStr">
        <is>
          <t>Browser=Safari, Resolution=834x1194</t>
        </is>
      </c>
      <c r="G267" s="17" t="inlineStr">
        <is>
          <t>Layout renders seamlessly without horizontal scrollbars, text clipping, or broken JS events.</t>
        </is>
      </c>
      <c r="H267" s="16" t="inlineStr">
        <is>
          <t>Automated (Selenium)</t>
        </is>
      </c>
      <c r="I267" s="16" t="inlineStr">
        <is>
          <t>P2</t>
        </is>
      </c>
      <c r="J267" s="16" t="inlineStr">
        <is>
          <t>Medium</t>
        </is>
      </c>
      <c r="K267" s="15" t="inlineStr">
        <is>
          <t>PASSED</t>
        </is>
      </c>
    </row>
    <row r="268" ht="20" customHeight="1">
      <c r="A268" s="13" t="inlineStr">
        <is>
          <t>TC_LOG_267</t>
        </is>
      </c>
      <c r="B268" s="14" t="inlineStr">
        <is>
          <t>Cross-Browser &amp; Responsiveness</t>
        </is>
      </c>
      <c r="C268" s="14" t="inlineStr">
        <is>
          <t>Verify login UI execution on Chrome Mobile iPhone 14 (390x844)</t>
        </is>
      </c>
      <c r="D268" s="14" t="inlineStr">
        <is>
          <t>Browser driver initialized (Chrome Mobile)</t>
        </is>
      </c>
      <c r="E268" s="14" t="inlineStr">
        <is>
          <t>1. Set browser window viewport to 390x844
2. Navigate to /auth/login
3. Execute login flow</t>
        </is>
      </c>
      <c r="F268" s="14" t="inlineStr">
        <is>
          <t>Browser=Chrome Mobile, Resolution=390x844</t>
        </is>
      </c>
      <c r="G268" s="14" t="inlineStr">
        <is>
          <t>Layout renders seamlessly without horizontal scrollbars, text clipping, or broken JS events.</t>
        </is>
      </c>
      <c r="H268" s="13" t="inlineStr">
        <is>
          <t>Automated (Selenium)</t>
        </is>
      </c>
      <c r="I268" s="13" t="inlineStr">
        <is>
          <t>P2</t>
        </is>
      </c>
      <c r="J268" s="13" t="inlineStr">
        <is>
          <t>Medium</t>
        </is>
      </c>
      <c r="K268" s="15" t="inlineStr">
        <is>
          <t>PASSED</t>
        </is>
      </c>
    </row>
    <row r="269" ht="20" customHeight="1">
      <c r="A269" s="16" t="inlineStr">
        <is>
          <t>TC_LOG_268</t>
        </is>
      </c>
      <c r="B269" s="17" t="inlineStr">
        <is>
          <t>Cross-Browser &amp; Responsiveness</t>
        </is>
      </c>
      <c r="C269" s="17" t="inlineStr">
        <is>
          <t>Verify login UI execution on Safari Mobile iPhone 14 (390x844)</t>
        </is>
      </c>
      <c r="D269" s="17" t="inlineStr">
        <is>
          <t>Browser driver initialized (Safari Mobile)</t>
        </is>
      </c>
      <c r="E269" s="17" t="inlineStr">
        <is>
          <t>1. Set browser window viewport to 390x844
2. Navigate to /auth/login
3. Execute login flow</t>
        </is>
      </c>
      <c r="F269" s="17" t="inlineStr">
        <is>
          <t>Browser=Safari Mobile, Resolution=390x844</t>
        </is>
      </c>
      <c r="G269" s="17" t="inlineStr">
        <is>
          <t>Layout renders seamlessly without horizontal scrollbars, text clipping, or broken JS events.</t>
        </is>
      </c>
      <c r="H269" s="16" t="inlineStr">
        <is>
          <t>Automated (Selenium)</t>
        </is>
      </c>
      <c r="I269" s="16" t="inlineStr">
        <is>
          <t>P2</t>
        </is>
      </c>
      <c r="J269" s="16" t="inlineStr">
        <is>
          <t>Medium</t>
        </is>
      </c>
      <c r="K269" s="15" t="inlineStr">
        <is>
          <t>PASSED</t>
        </is>
      </c>
    </row>
    <row r="270" ht="20" customHeight="1">
      <c r="A270" s="13" t="inlineStr">
        <is>
          <t>TC_LOG_269</t>
        </is>
      </c>
      <c r="B270" s="14" t="inlineStr">
        <is>
          <t>Cross-Browser &amp; Responsiveness</t>
        </is>
      </c>
      <c r="C270" s="14" t="inlineStr">
        <is>
          <t>Verify login UI execution on Chrome Mobile Pixel 7 (412x915)</t>
        </is>
      </c>
      <c r="D270" s="14" t="inlineStr">
        <is>
          <t>Browser driver initialized (Chrome Mobile)</t>
        </is>
      </c>
      <c r="E270" s="14" t="inlineStr">
        <is>
          <t>1. Set browser window viewport to 412x915
2. Navigate to /auth/login
3. Execute login flow</t>
        </is>
      </c>
      <c r="F270" s="14" t="inlineStr">
        <is>
          <t>Browser=Chrome Mobile, Resolution=412x915</t>
        </is>
      </c>
      <c r="G270" s="14" t="inlineStr">
        <is>
          <t>Layout renders seamlessly without horizontal scrollbars, text clipping, or broken JS events.</t>
        </is>
      </c>
      <c r="H270" s="13" t="inlineStr">
        <is>
          <t>Automated (Selenium)</t>
        </is>
      </c>
      <c r="I270" s="13" t="inlineStr">
        <is>
          <t>P2</t>
        </is>
      </c>
      <c r="J270" s="13" t="inlineStr">
        <is>
          <t>Medium</t>
        </is>
      </c>
      <c r="K270" s="15" t="inlineStr">
        <is>
          <t>PASSED</t>
        </is>
      </c>
    </row>
    <row r="271" ht="20" customHeight="1">
      <c r="A271" s="16" t="inlineStr">
        <is>
          <t>TC_LOG_270</t>
        </is>
      </c>
      <c r="B271" s="17" t="inlineStr">
        <is>
          <t>Cross-Browser &amp; Responsiveness</t>
        </is>
      </c>
      <c r="C271" s="17" t="inlineStr">
        <is>
          <t>Verify login UI execution on Samsung Internet Mobile (412x915)</t>
        </is>
      </c>
      <c r="D271" s="17" t="inlineStr">
        <is>
          <t>Browser driver initialized (Samsung Browser)</t>
        </is>
      </c>
      <c r="E271" s="17" t="inlineStr">
        <is>
          <t>1. Set browser window viewport to 412x915
2. Navigate to /auth/login
3. Execute login flow</t>
        </is>
      </c>
      <c r="F271" s="17" t="inlineStr">
        <is>
          <t>Browser=Samsung Browser, Resolution=412x915</t>
        </is>
      </c>
      <c r="G271" s="17" t="inlineStr">
        <is>
          <t>Layout renders seamlessly without horizontal scrollbars, text clipping, or broken JS events.</t>
        </is>
      </c>
      <c r="H271" s="16" t="inlineStr">
        <is>
          <t>Automated (Selenium)</t>
        </is>
      </c>
      <c r="I271" s="16" t="inlineStr">
        <is>
          <t>P2</t>
        </is>
      </c>
      <c r="J271" s="16" t="inlineStr">
        <is>
          <t>Medium</t>
        </is>
      </c>
      <c r="K271" s="15" t="inlineStr">
        <is>
          <t>PASSED</t>
        </is>
      </c>
    </row>
    <row r="272" ht="20" customHeight="1">
      <c r="A272" s="13" t="inlineStr">
        <is>
          <t>TC_LOG_271</t>
        </is>
      </c>
      <c r="B272" s="14" t="inlineStr">
        <is>
          <t>Cross-Browser &amp; Responsiveness</t>
        </is>
      </c>
      <c r="C272" s="14" t="inlineStr">
        <is>
          <t>Verify login UI execution on Firefox Mobile (390x844)</t>
        </is>
      </c>
      <c r="D272" s="14" t="inlineStr">
        <is>
          <t>Browser driver initialized (Firefox Mobile)</t>
        </is>
      </c>
      <c r="E272" s="14" t="inlineStr">
        <is>
          <t>1. Set browser window viewport to 390x844
2. Navigate to /auth/login
3. Execute login flow</t>
        </is>
      </c>
      <c r="F272" s="14" t="inlineStr">
        <is>
          <t>Browser=Firefox Mobile, Resolution=390x844</t>
        </is>
      </c>
      <c r="G272" s="14" t="inlineStr">
        <is>
          <t>Layout renders seamlessly without horizontal scrollbars, text clipping, or broken JS events.</t>
        </is>
      </c>
      <c r="H272" s="13" t="inlineStr">
        <is>
          <t>Automated (Selenium)</t>
        </is>
      </c>
      <c r="I272" s="13" t="inlineStr">
        <is>
          <t>P2</t>
        </is>
      </c>
      <c r="J272" s="13" t="inlineStr">
        <is>
          <t>Medium</t>
        </is>
      </c>
      <c r="K272" s="15" t="inlineStr">
        <is>
          <t>AUTOMATED</t>
        </is>
      </c>
    </row>
    <row r="273" ht="20" customHeight="1">
      <c r="A273" s="16" t="inlineStr">
        <is>
          <t>TC_LOG_272</t>
        </is>
      </c>
      <c r="B273" s="17" t="inlineStr">
        <is>
          <t>Cross-Browser &amp; Responsiveness</t>
        </is>
      </c>
      <c r="C273" s="17" t="inlineStr">
        <is>
          <t>Verify login UI execution on Chrome Small Screen (1280x720)</t>
        </is>
      </c>
      <c r="D273" s="17" t="inlineStr">
        <is>
          <t>Browser driver initialized (Chrome)</t>
        </is>
      </c>
      <c r="E273" s="17" t="inlineStr">
        <is>
          <t>1. Set browser window viewport to 1280x720
2. Navigate to /auth/login
3. Execute login flow</t>
        </is>
      </c>
      <c r="F273" s="17" t="inlineStr">
        <is>
          <t>Browser=Chrome, Resolution=1280x720</t>
        </is>
      </c>
      <c r="G273" s="17" t="inlineStr">
        <is>
          <t>Layout renders seamlessly without horizontal scrollbars, text clipping, or broken JS events.</t>
        </is>
      </c>
      <c r="H273" s="16" t="inlineStr">
        <is>
          <t>Automated (Selenium)</t>
        </is>
      </c>
      <c r="I273" s="16" t="inlineStr">
        <is>
          <t>P2</t>
        </is>
      </c>
      <c r="J273" s="16" t="inlineStr">
        <is>
          <t>Medium</t>
        </is>
      </c>
      <c r="K273" s="15" t="inlineStr">
        <is>
          <t>AUTOMATED</t>
        </is>
      </c>
    </row>
    <row r="274" ht="20" customHeight="1">
      <c r="A274" s="13" t="inlineStr">
        <is>
          <t>TC_LOG_273</t>
        </is>
      </c>
      <c r="B274" s="14" t="inlineStr">
        <is>
          <t>Cross-Browser &amp; Responsiveness</t>
        </is>
      </c>
      <c r="C274" s="14" t="inlineStr">
        <is>
          <t>Verify login UI execution on Ultra-wide Monitor (2560x1440)</t>
        </is>
      </c>
      <c r="D274" s="14" t="inlineStr">
        <is>
          <t>Browser driver initialized (Chrome)</t>
        </is>
      </c>
      <c r="E274" s="14" t="inlineStr">
        <is>
          <t>1. Set browser window viewport to 2560x1440
2. Navigate to /auth/login
3. Execute login flow</t>
        </is>
      </c>
      <c r="F274" s="14" t="inlineStr">
        <is>
          <t>Browser=Chrome, Resolution=2560x1440</t>
        </is>
      </c>
      <c r="G274" s="14" t="inlineStr">
        <is>
          <t>Layout renders seamlessly without horizontal scrollbars, text clipping, or broken JS events.</t>
        </is>
      </c>
      <c r="H274" s="13" t="inlineStr">
        <is>
          <t>Manual</t>
        </is>
      </c>
      <c r="I274" s="13" t="inlineStr">
        <is>
          <t>P2</t>
        </is>
      </c>
      <c r="J274" s="13" t="inlineStr">
        <is>
          <t>Medium</t>
        </is>
      </c>
      <c r="K274" s="15" t="inlineStr">
        <is>
          <t>AUTOMATED</t>
        </is>
      </c>
    </row>
    <row r="275" ht="20" customHeight="1">
      <c r="A275" s="16" t="inlineStr">
        <is>
          <t>TC_LOG_274</t>
        </is>
      </c>
      <c r="B275" s="17" t="inlineStr">
        <is>
          <t>Cross-Browser &amp; Responsiveness</t>
        </is>
      </c>
      <c r="C275" s="17" t="inlineStr">
        <is>
          <t>Verify login UI execution on 4K Monitor Resolution (3840x2160)</t>
        </is>
      </c>
      <c r="D275" s="17" t="inlineStr">
        <is>
          <t>Browser driver initialized (Chrome)</t>
        </is>
      </c>
      <c r="E275" s="17" t="inlineStr">
        <is>
          <t>1. Set browser window viewport to 3840x2160
2. Navigate to /auth/login
3. Execute login flow</t>
        </is>
      </c>
      <c r="F275" s="17" t="inlineStr">
        <is>
          <t>Browser=Chrome, Resolution=3840x2160</t>
        </is>
      </c>
      <c r="G275" s="17" t="inlineStr">
        <is>
          <t>Layout renders seamlessly without horizontal scrollbars, text clipping, or broken JS events.</t>
        </is>
      </c>
      <c r="H275" s="16" t="inlineStr">
        <is>
          <t>Manual</t>
        </is>
      </c>
      <c r="I275" s="16" t="inlineStr">
        <is>
          <t>P2</t>
        </is>
      </c>
      <c r="J275" s="16" t="inlineStr">
        <is>
          <t>Medium</t>
        </is>
      </c>
      <c r="K275" s="15" t="inlineStr">
        <is>
          <t>AUTOMATED</t>
        </is>
      </c>
    </row>
    <row r="276" ht="20" customHeight="1">
      <c r="A276" s="13" t="inlineStr">
        <is>
          <t>TC_LOG_275</t>
        </is>
      </c>
      <c r="B276" s="14" t="inlineStr">
        <is>
          <t>Cross-Browser &amp; Responsiveness</t>
        </is>
      </c>
      <c r="C276" s="14" t="inlineStr">
        <is>
          <t>Verify login UI execution on Landscape Mobile Orientation (844x390)</t>
        </is>
      </c>
      <c r="D276" s="14" t="inlineStr">
        <is>
          <t>Browser driver initialized (Chrome Mobile)</t>
        </is>
      </c>
      <c r="E276" s="14" t="inlineStr">
        <is>
          <t>1. Set browser window viewport to 844x390
2. Navigate to /auth/login
3. Execute login flow</t>
        </is>
      </c>
      <c r="F276" s="14" t="inlineStr">
        <is>
          <t>Browser=Chrome Mobile, Resolution=844x390</t>
        </is>
      </c>
      <c r="G276" s="14" t="inlineStr">
        <is>
          <t>Layout renders seamlessly without horizontal scrollbars, text clipping, or broken JS events.</t>
        </is>
      </c>
      <c r="H276" s="13" t="inlineStr">
        <is>
          <t>Manual</t>
        </is>
      </c>
      <c r="I276" s="13" t="inlineStr">
        <is>
          <t>P2</t>
        </is>
      </c>
      <c r="J276" s="13" t="inlineStr">
        <is>
          <t>Medium</t>
        </is>
      </c>
      <c r="K276" s="15" t="inlineStr">
        <is>
          <t>AUTOMATED</t>
        </is>
      </c>
    </row>
    <row r="277" ht="20" customHeight="1">
      <c r="A277" s="16" t="inlineStr">
        <is>
          <t>TC_LOG_276</t>
        </is>
      </c>
      <c r="B277" s="17" t="inlineStr">
        <is>
          <t>Cross-Browser &amp; Responsiveness</t>
        </is>
      </c>
      <c r="C277" s="17" t="inlineStr">
        <is>
          <t>Verify login UI execution on Portrait Tablet Orientation (810x1080)</t>
        </is>
      </c>
      <c r="D277" s="17" t="inlineStr">
        <is>
          <t>Browser driver initialized (Safari Tablet)</t>
        </is>
      </c>
      <c r="E277" s="17" t="inlineStr">
        <is>
          <t>1. Set browser window viewport to 810x1080
2. Navigate to /auth/login
3. Execute login flow</t>
        </is>
      </c>
      <c r="F277" s="17" t="inlineStr">
        <is>
          <t>Browser=Safari Tablet, Resolution=810x1080</t>
        </is>
      </c>
      <c r="G277" s="17" t="inlineStr">
        <is>
          <t>Layout renders seamlessly without horizontal scrollbars, text clipping, or broken JS events.</t>
        </is>
      </c>
      <c r="H277" s="16" t="inlineStr">
        <is>
          <t>Manual</t>
        </is>
      </c>
      <c r="I277" s="16" t="inlineStr">
        <is>
          <t>P2</t>
        </is>
      </c>
      <c r="J277" s="16" t="inlineStr">
        <is>
          <t>Medium</t>
        </is>
      </c>
      <c r="K277" s="15" t="inlineStr">
        <is>
          <t>AUTOMATED</t>
        </is>
      </c>
    </row>
    <row r="278" ht="20" customHeight="1">
      <c r="A278" s="13" t="inlineStr">
        <is>
          <t>TC_LOG_277</t>
        </is>
      </c>
      <c r="B278" s="14" t="inlineStr">
        <is>
          <t>Cross-Browser &amp; Responsiveness</t>
        </is>
      </c>
      <c r="C278" s="14" t="inlineStr">
        <is>
          <t>Verify login UI execution on Foldable Device Screen Viewport (280x653)</t>
        </is>
      </c>
      <c r="D278" s="14" t="inlineStr">
        <is>
          <t>Browser driver initialized (Chrome Mobile)</t>
        </is>
      </c>
      <c r="E278" s="14" t="inlineStr">
        <is>
          <t>1. Set browser window viewport to 280x653
2. Navigate to /auth/login
3. Execute login flow</t>
        </is>
      </c>
      <c r="F278" s="14" t="inlineStr">
        <is>
          <t>Browser=Chrome Mobile, Resolution=280x653</t>
        </is>
      </c>
      <c r="G278" s="14" t="inlineStr">
        <is>
          <t>Layout renders seamlessly without horizontal scrollbars, text clipping, or broken JS events.</t>
        </is>
      </c>
      <c r="H278" s="13" t="inlineStr">
        <is>
          <t>Manual</t>
        </is>
      </c>
      <c r="I278" s="13" t="inlineStr">
        <is>
          <t>P2</t>
        </is>
      </c>
      <c r="J278" s="13" t="inlineStr">
        <is>
          <t>Medium</t>
        </is>
      </c>
      <c r="K278" s="15" t="inlineStr">
        <is>
          <t>AUTOMATED</t>
        </is>
      </c>
    </row>
    <row r="279" ht="20" customHeight="1">
      <c r="A279" s="16" t="inlineStr">
        <is>
          <t>TC_LOG_278</t>
        </is>
      </c>
      <c r="B279" s="17" t="inlineStr">
        <is>
          <t>Cross-Browser &amp; Responsiveness</t>
        </is>
      </c>
      <c r="C279" s="17" t="inlineStr">
        <is>
          <t>Verify login UI execution on Legacy Edge Chromium Version</t>
        </is>
      </c>
      <c r="D279" s="17" t="inlineStr">
        <is>
          <t>Browser driver initialized (Edge Legacy)</t>
        </is>
      </c>
      <c r="E279" s="17" t="inlineStr">
        <is>
          <t>1. Set browser window viewport to 1366x768
2. Navigate to /auth/login
3. Execute login flow</t>
        </is>
      </c>
      <c r="F279" s="17" t="inlineStr">
        <is>
          <t>Browser=Edge Legacy, Resolution=1366x768</t>
        </is>
      </c>
      <c r="G279" s="17" t="inlineStr">
        <is>
          <t>Layout renders seamlessly without horizontal scrollbars, text clipping, or broken JS events.</t>
        </is>
      </c>
      <c r="H279" s="16" t="inlineStr">
        <is>
          <t>Manual</t>
        </is>
      </c>
      <c r="I279" s="16" t="inlineStr">
        <is>
          <t>P2</t>
        </is>
      </c>
      <c r="J279" s="16" t="inlineStr">
        <is>
          <t>Medium</t>
        </is>
      </c>
      <c r="K279" s="15" t="inlineStr">
        <is>
          <t>AUTOMATED</t>
        </is>
      </c>
    </row>
    <row r="280" ht="20" customHeight="1">
      <c r="A280" s="13" t="inlineStr">
        <is>
          <t>TC_LOG_279</t>
        </is>
      </c>
      <c r="B280" s="14" t="inlineStr">
        <is>
          <t>Cross-Browser &amp; Responsiveness</t>
        </is>
      </c>
      <c r="C280" s="14" t="inlineStr">
        <is>
          <t>Verify login UI execution on Firefox ESR Long Term Support</t>
        </is>
      </c>
      <c r="D280" s="14" t="inlineStr">
        <is>
          <t>Browser driver initialized (Firefox ESR)</t>
        </is>
      </c>
      <c r="E280" s="14" t="inlineStr">
        <is>
          <t>1. Set browser window viewport to 1920x1080
2. Navigate to /auth/login
3. Execute login flow</t>
        </is>
      </c>
      <c r="F280" s="14" t="inlineStr">
        <is>
          <t>Browser=Firefox ESR, Resolution=1920x1080</t>
        </is>
      </c>
      <c r="G280" s="14" t="inlineStr">
        <is>
          <t>Layout renders seamlessly without horizontal scrollbars, text clipping, or broken JS events.</t>
        </is>
      </c>
      <c r="H280" s="13" t="inlineStr">
        <is>
          <t>Manual</t>
        </is>
      </c>
      <c r="I280" s="13" t="inlineStr">
        <is>
          <t>P2</t>
        </is>
      </c>
      <c r="J280" s="13" t="inlineStr">
        <is>
          <t>Medium</t>
        </is>
      </c>
      <c r="K280" s="15" t="inlineStr">
        <is>
          <t>AUTOMATED</t>
        </is>
      </c>
    </row>
    <row r="281" ht="20" customHeight="1">
      <c r="A281" s="16" t="inlineStr">
        <is>
          <t>TC_LOG_280</t>
        </is>
      </c>
      <c r="B281" s="17" t="inlineStr">
        <is>
          <t>Cross-Browser &amp; Responsiveness</t>
        </is>
      </c>
      <c r="C281" s="17" t="inlineStr">
        <is>
          <t>Verify login UI execution on Headless Chrome Automation Mode</t>
        </is>
      </c>
      <c r="D281" s="17" t="inlineStr">
        <is>
          <t>Browser driver initialized (Headless Chrome)</t>
        </is>
      </c>
      <c r="E281" s="17" t="inlineStr">
        <is>
          <t>1. Set browser window viewport to 1920x1080
2. Navigate to /auth/login
3. Execute login flow</t>
        </is>
      </c>
      <c r="F281" s="17" t="inlineStr">
        <is>
          <t>Browser=Headless Chrome, Resolution=1920x1080</t>
        </is>
      </c>
      <c r="G281" s="17" t="inlineStr">
        <is>
          <t>Layout renders seamlessly without horizontal scrollbars, text clipping, or broken JS events.</t>
        </is>
      </c>
      <c r="H281" s="16" t="inlineStr">
        <is>
          <t>Manual</t>
        </is>
      </c>
      <c r="I281" s="16" t="inlineStr">
        <is>
          <t>P2</t>
        </is>
      </c>
      <c r="J281" s="16" t="inlineStr">
        <is>
          <t>Medium</t>
        </is>
      </c>
      <c r="K281" s="15" t="inlineStr">
        <is>
          <t>AUTOMATED</t>
        </is>
      </c>
    </row>
    <row r="282" ht="20" customHeight="1">
      <c r="A282" s="13" t="inlineStr">
        <is>
          <t>TC_LOG_281</t>
        </is>
      </c>
      <c r="B282" s="14" t="inlineStr">
        <is>
          <t>Network, Latency &amp; Resilience</t>
        </is>
      </c>
      <c r="C282" s="14" t="inlineStr">
        <is>
          <t>Verify Network Resilience: Slow 3G Network Throttling (500ms RTT)</t>
        </is>
      </c>
      <c r="D282" s="14" t="inlineStr">
        <is>
          <t>Network condition simulation tool active</t>
        </is>
      </c>
      <c r="E282" s="14" t="inlineStr">
        <is>
          <t>1. Configure network profile (Slow 3G Network Throttling (500ms RTT))
2. Submit login credentials
3. Observe client handling</t>
        </is>
      </c>
      <c r="F282" s="14" t="inlineStr">
        <is>
          <t>Network_Condition=Slow 3G Network Throttling (500ms RTT)</t>
        </is>
      </c>
      <c r="G282" s="14" t="inlineStr">
        <is>
          <t>System responds resiliently. Handles latency gracefully without timing out.</t>
        </is>
      </c>
      <c r="H282" s="13" t="inlineStr">
        <is>
          <t>Automated (Selenium)</t>
        </is>
      </c>
      <c r="I282" s="13" t="inlineStr">
        <is>
          <t>P2</t>
        </is>
      </c>
      <c r="J282" s="13" t="inlineStr">
        <is>
          <t>High</t>
        </is>
      </c>
      <c r="K282" s="15" t="inlineStr">
        <is>
          <t>PASSED</t>
        </is>
      </c>
    </row>
    <row r="283" ht="20" customHeight="1">
      <c r="A283" s="16" t="inlineStr">
        <is>
          <t>TC_LOG_282</t>
        </is>
      </c>
      <c r="B283" s="17" t="inlineStr">
        <is>
          <t>Network, Latency &amp; Resilience</t>
        </is>
      </c>
      <c r="C283" s="17" t="inlineStr">
        <is>
          <t>Verify Network Resilience: Fast 3G Network Throttling (150ms RTT)</t>
        </is>
      </c>
      <c r="D283" s="17" t="inlineStr">
        <is>
          <t>Network condition simulation tool active</t>
        </is>
      </c>
      <c r="E283" s="17" t="inlineStr">
        <is>
          <t>1. Configure network profile (Fast 3G Network Throttling (150ms RTT))
2. Submit login credentials
3. Observe client handling</t>
        </is>
      </c>
      <c r="F283" s="17" t="inlineStr">
        <is>
          <t>Network_Condition=Fast 3G Network Throttling (150ms RTT)</t>
        </is>
      </c>
      <c r="G283" s="17" t="inlineStr">
        <is>
          <t>System responds resiliently. Executes login without performance degradation.</t>
        </is>
      </c>
      <c r="H283" s="16" t="inlineStr">
        <is>
          <t>Automated (Selenium)</t>
        </is>
      </c>
      <c r="I283" s="16" t="inlineStr">
        <is>
          <t>P2</t>
        </is>
      </c>
      <c r="J283" s="16" t="inlineStr">
        <is>
          <t>High</t>
        </is>
      </c>
      <c r="K283" s="15" t="inlineStr">
        <is>
          <t>PASSED</t>
        </is>
      </c>
    </row>
    <row r="284" ht="20" customHeight="1">
      <c r="A284" s="13" t="inlineStr">
        <is>
          <t>TC_LOG_283</t>
        </is>
      </c>
      <c r="B284" s="14" t="inlineStr">
        <is>
          <t>Network, Latency &amp; Resilience</t>
        </is>
      </c>
      <c r="C284" s="14" t="inlineStr">
        <is>
          <t>Verify Network Resilience: Offline Network Connection during Submit</t>
        </is>
      </c>
      <c r="D284" s="14" t="inlineStr">
        <is>
          <t>Network condition simulation tool active</t>
        </is>
      </c>
      <c r="E284" s="14" t="inlineStr">
        <is>
          <t>1. Configure network profile (Offline Network Connection during Submit)
2. Submit login credentials
3. Observe client handling</t>
        </is>
      </c>
      <c r="F284" s="14" t="inlineStr">
        <is>
          <t>Network_Condition=Offline Network Connection during Submit</t>
        </is>
      </c>
      <c r="G284" s="14" t="inlineStr">
        <is>
          <t>System responds resiliently. Displays client-side 'Network Connection Lost' alert.</t>
        </is>
      </c>
      <c r="H284" s="13" t="inlineStr">
        <is>
          <t>Automated (Selenium)</t>
        </is>
      </c>
      <c r="I284" s="13" t="inlineStr">
        <is>
          <t>P2</t>
        </is>
      </c>
      <c r="J284" s="13" t="inlineStr">
        <is>
          <t>High</t>
        </is>
      </c>
      <c r="K284" s="15" t="inlineStr">
        <is>
          <t>PASSED</t>
        </is>
      </c>
    </row>
    <row r="285" ht="20" customHeight="1">
      <c r="A285" s="16" t="inlineStr">
        <is>
          <t>TC_LOG_284</t>
        </is>
      </c>
      <c r="B285" s="17" t="inlineStr">
        <is>
          <t>Network, Latency &amp; Resilience</t>
        </is>
      </c>
      <c r="C285" s="17" t="inlineStr">
        <is>
          <t>Verify Network Resilience: Server 500 Internal Error Response</t>
        </is>
      </c>
      <c r="D285" s="17" t="inlineStr">
        <is>
          <t>Network condition simulation tool active</t>
        </is>
      </c>
      <c r="E285" s="17" t="inlineStr">
        <is>
          <t>1. Configure network profile (Server 500 Internal Error Response)
2. Submit login credentials
3. Observe client handling</t>
        </is>
      </c>
      <c r="F285" s="17" t="inlineStr">
        <is>
          <t>Network_Condition=Server 500 Internal Error Response</t>
        </is>
      </c>
      <c r="G285" s="17" t="inlineStr">
        <is>
          <t>System responds resiliently. Displays user-friendly 'Service Temporarily Unavailable' page.</t>
        </is>
      </c>
      <c r="H285" s="16" t="inlineStr">
        <is>
          <t>Automated (Selenium)</t>
        </is>
      </c>
      <c r="I285" s="16" t="inlineStr">
        <is>
          <t>P2</t>
        </is>
      </c>
      <c r="J285" s="16" t="inlineStr">
        <is>
          <t>High</t>
        </is>
      </c>
      <c r="K285" s="15" t="inlineStr">
        <is>
          <t>PASSED</t>
        </is>
      </c>
    </row>
    <row r="286" ht="20" customHeight="1">
      <c r="A286" s="13" t="inlineStr">
        <is>
          <t>TC_LOG_285</t>
        </is>
      </c>
      <c r="B286" s="14" t="inlineStr">
        <is>
          <t>Network, Latency &amp; Resilience</t>
        </is>
      </c>
      <c r="C286" s="14" t="inlineStr">
        <is>
          <t>Verify Network Resilience: Server 503 Service Unavailable Response</t>
        </is>
      </c>
      <c r="D286" s="14" t="inlineStr">
        <is>
          <t>Network condition simulation tool active</t>
        </is>
      </c>
      <c r="E286" s="14" t="inlineStr">
        <is>
          <t>1. Configure network profile (Server 503 Service Unavailable Response)
2. Submit login credentials
3. Observe client handling</t>
        </is>
      </c>
      <c r="F286" s="14" t="inlineStr">
        <is>
          <t>Network_Condition=Server 503 Service Unavailable Response</t>
        </is>
      </c>
      <c r="G286" s="14" t="inlineStr">
        <is>
          <t>System responds resiliently. Displays maintenance warning message.</t>
        </is>
      </c>
      <c r="H286" s="13" t="inlineStr">
        <is>
          <t>Automated (Selenium)</t>
        </is>
      </c>
      <c r="I286" s="13" t="inlineStr">
        <is>
          <t>P2</t>
        </is>
      </c>
      <c r="J286" s="13" t="inlineStr">
        <is>
          <t>High</t>
        </is>
      </c>
      <c r="K286" s="15" t="inlineStr">
        <is>
          <t>PASSED</t>
        </is>
      </c>
    </row>
    <row r="287" ht="20" customHeight="1">
      <c r="A287" s="16" t="inlineStr">
        <is>
          <t>TC_LOG_286</t>
        </is>
      </c>
      <c r="B287" s="17" t="inlineStr">
        <is>
          <t>Network, Latency &amp; Resilience</t>
        </is>
      </c>
      <c r="C287" s="17" t="inlineStr">
        <is>
          <t>Verify Network Resilience: Server 504 Gateway Timeout Response</t>
        </is>
      </c>
      <c r="D287" s="17" t="inlineStr">
        <is>
          <t>Network condition simulation tool active</t>
        </is>
      </c>
      <c r="E287" s="17" t="inlineStr">
        <is>
          <t>1. Configure network profile (Server 504 Gateway Timeout Response)
2. Submit login credentials
3. Observe client handling</t>
        </is>
      </c>
      <c r="F287" s="17" t="inlineStr">
        <is>
          <t>Network_Condition=Server 504 Gateway Timeout Response</t>
        </is>
      </c>
      <c r="G287" s="17" t="inlineStr">
        <is>
          <t>System responds resiliently. Prompts user to retry login after timeout.</t>
        </is>
      </c>
      <c r="H287" s="16" t="inlineStr">
        <is>
          <t>Automated (Selenium)</t>
        </is>
      </c>
      <c r="I287" s="16" t="inlineStr">
        <is>
          <t>P2</t>
        </is>
      </c>
      <c r="J287" s="16" t="inlineStr">
        <is>
          <t>Medium</t>
        </is>
      </c>
      <c r="K287" s="15" t="inlineStr">
        <is>
          <t>PASSED</t>
        </is>
      </c>
    </row>
    <row r="288" ht="20" customHeight="1">
      <c r="A288" s="13" t="inlineStr">
        <is>
          <t>TC_LOG_287</t>
        </is>
      </c>
      <c r="B288" s="14" t="inlineStr">
        <is>
          <t>Network, Latency &amp; Resilience</t>
        </is>
      </c>
      <c r="C288" s="14" t="inlineStr">
        <is>
          <t>Verify Network Resilience: Backend Database Connection Timeout</t>
        </is>
      </c>
      <c r="D288" s="14" t="inlineStr">
        <is>
          <t>Network condition simulation tool active</t>
        </is>
      </c>
      <c r="E288" s="14" t="inlineStr">
        <is>
          <t>1. Configure network profile (Backend Database Connection Timeout)
2. Submit login credentials
3. Observe client handling</t>
        </is>
      </c>
      <c r="F288" s="14" t="inlineStr">
        <is>
          <t>Network_Condition=Backend Database Connection Timeout</t>
        </is>
      </c>
      <c r="G288" s="14" t="inlineStr">
        <is>
          <t>System responds resiliently. Prevents database exception stack trace exposure.</t>
        </is>
      </c>
      <c r="H288" s="13" t="inlineStr">
        <is>
          <t>Automated (Selenium)</t>
        </is>
      </c>
      <c r="I288" s="13" t="inlineStr">
        <is>
          <t>P2</t>
        </is>
      </c>
      <c r="J288" s="13" t="inlineStr">
        <is>
          <t>Medium</t>
        </is>
      </c>
      <c r="K288" s="15" t="inlineStr">
        <is>
          <t>PASSED</t>
        </is>
      </c>
    </row>
    <row r="289" ht="20" customHeight="1">
      <c r="A289" s="16" t="inlineStr">
        <is>
          <t>TC_LOG_288</t>
        </is>
      </c>
      <c r="B289" s="17" t="inlineStr">
        <is>
          <t>Network, Latency &amp; Resilience</t>
        </is>
      </c>
      <c r="C289" s="17" t="inlineStr">
        <is>
          <t>Verify Network Resilience: Rapid Double-Click on Submit Button</t>
        </is>
      </c>
      <c r="D289" s="17" t="inlineStr">
        <is>
          <t>Network condition simulation tool active</t>
        </is>
      </c>
      <c r="E289" s="17" t="inlineStr">
        <is>
          <t>1. Configure network profile (Rapid Double-Click on Submit Button)
2. Submit login credentials
3. Observe client handling</t>
        </is>
      </c>
      <c r="F289" s="17" t="inlineStr">
        <is>
          <t>Network_Condition=Rapid Double-Click on Submit Button</t>
        </is>
      </c>
      <c r="G289" s="17" t="inlineStr">
        <is>
          <t>System responds resiliently. Disables button to prevent duplicate POST requests.</t>
        </is>
      </c>
      <c r="H289" s="16" t="inlineStr">
        <is>
          <t>Automated (Selenium)</t>
        </is>
      </c>
      <c r="I289" s="16" t="inlineStr">
        <is>
          <t>P2</t>
        </is>
      </c>
      <c r="J289" s="16" t="inlineStr">
        <is>
          <t>Medium</t>
        </is>
      </c>
      <c r="K289" s="15" t="inlineStr">
        <is>
          <t>PASSED</t>
        </is>
      </c>
    </row>
    <row r="290" ht="20" customHeight="1">
      <c r="A290" s="13" t="inlineStr">
        <is>
          <t>TC_LOG_289</t>
        </is>
      </c>
      <c r="B290" s="14" t="inlineStr">
        <is>
          <t>Network, Latency &amp; Resilience</t>
        </is>
      </c>
      <c r="C290" s="14" t="inlineStr">
        <is>
          <t>Verify Network Resilience: Interrupted HTTP Request mid-transmission</t>
        </is>
      </c>
      <c r="D290" s="14" t="inlineStr">
        <is>
          <t>Network condition simulation tool active</t>
        </is>
      </c>
      <c r="E290" s="14" t="inlineStr">
        <is>
          <t>1. Configure network profile (Interrupted HTTP Request mid-transmission)
2. Submit login credentials
3. Observe client handling</t>
        </is>
      </c>
      <c r="F290" s="14" t="inlineStr">
        <is>
          <t>Network_Condition=Interrupted HTTP Request mid-transmission</t>
        </is>
      </c>
      <c r="G290" s="14" t="inlineStr">
        <is>
          <t>System responds resiliently. Maintains safe state and allows user retry.</t>
        </is>
      </c>
      <c r="H290" s="13" t="inlineStr">
        <is>
          <t>Automated (Selenium)</t>
        </is>
      </c>
      <c r="I290" s="13" t="inlineStr">
        <is>
          <t>P2</t>
        </is>
      </c>
      <c r="J290" s="13" t="inlineStr">
        <is>
          <t>Medium</t>
        </is>
      </c>
      <c r="K290" s="15" t="inlineStr">
        <is>
          <t>AUTOMATED</t>
        </is>
      </c>
    </row>
    <row r="291" ht="20" customHeight="1">
      <c r="A291" s="16" t="inlineStr">
        <is>
          <t>TC_LOG_290</t>
        </is>
      </c>
      <c r="B291" s="17" t="inlineStr">
        <is>
          <t>Network, Latency &amp; Resilience</t>
        </is>
      </c>
      <c r="C291" s="17" t="inlineStr">
        <is>
          <t>Verify Network Resilience: High Concurrency Traffic Spike (100 parallel logins)</t>
        </is>
      </c>
      <c r="D291" s="17" t="inlineStr">
        <is>
          <t>Network condition simulation tool active</t>
        </is>
      </c>
      <c r="E291" s="17" t="inlineStr">
        <is>
          <t>1. Configure network profile (High Concurrency Traffic Spike (100 parallel logins))
2. Submit login credentials
3. Observe client handling</t>
        </is>
      </c>
      <c r="F291" s="17" t="inlineStr">
        <is>
          <t>Network_Condition=High Concurrency Traffic Spike (100 parallel logins)</t>
        </is>
      </c>
      <c r="G291" s="17" t="inlineStr">
        <is>
          <t>System responds resiliently. Backend handles concurrent requests without 502/504 errors.</t>
        </is>
      </c>
      <c r="H291" s="16" t="inlineStr">
        <is>
          <t>Automated (Selenium)</t>
        </is>
      </c>
      <c r="I291" s="16" t="inlineStr">
        <is>
          <t>P2</t>
        </is>
      </c>
      <c r="J291" s="16" t="inlineStr">
        <is>
          <t>Medium</t>
        </is>
      </c>
      <c r="K291" s="15" t="inlineStr">
        <is>
          <t>AUTOMATED</t>
        </is>
      </c>
    </row>
    <row r="292" ht="20" customHeight="1">
      <c r="A292" s="13" t="inlineStr">
        <is>
          <t>TC_LOG_291</t>
        </is>
      </c>
      <c r="B292" s="14" t="inlineStr">
        <is>
          <t>Network, Latency &amp; Resilience</t>
        </is>
      </c>
      <c r="C292" s="14" t="inlineStr">
        <is>
          <t>Verify Network Resilience: DNS Resolution Delay</t>
        </is>
      </c>
      <c r="D292" s="14" t="inlineStr">
        <is>
          <t>Network condition simulation tool active</t>
        </is>
      </c>
      <c r="E292" s="14" t="inlineStr">
        <is>
          <t>1. Configure network profile (DNS Resolution Delay)
2. Submit login credentials
3. Observe client handling</t>
        </is>
      </c>
      <c r="F292" s="14" t="inlineStr">
        <is>
          <t>Network_Condition=DNS Resolution Delay</t>
        </is>
      </c>
      <c r="G292" s="14" t="inlineStr">
        <is>
          <t>System responds resiliently. Waits for DNS resolution before failing.</t>
        </is>
      </c>
      <c r="H292" s="13" t="inlineStr">
        <is>
          <t>Manual</t>
        </is>
      </c>
      <c r="I292" s="13" t="inlineStr">
        <is>
          <t>P3</t>
        </is>
      </c>
      <c r="J292" s="13" t="inlineStr">
        <is>
          <t>Medium</t>
        </is>
      </c>
      <c r="K292" s="15" t="inlineStr">
        <is>
          <t>AUTOMATED</t>
        </is>
      </c>
    </row>
    <row r="293" ht="20" customHeight="1">
      <c r="A293" s="16" t="inlineStr">
        <is>
          <t>TC_LOG_292</t>
        </is>
      </c>
      <c r="B293" s="17" t="inlineStr">
        <is>
          <t>Network, Latency &amp; Resilience</t>
        </is>
      </c>
      <c r="C293" s="17" t="inlineStr">
        <is>
          <t>Verify Network Resilience: CORS Preflight Options request failure</t>
        </is>
      </c>
      <c r="D293" s="17" t="inlineStr">
        <is>
          <t>Network condition simulation tool active</t>
        </is>
      </c>
      <c r="E293" s="17" t="inlineStr">
        <is>
          <t>1. Configure network profile (CORS Preflight Options request failure)
2. Submit login credentials
3. Observe client handling</t>
        </is>
      </c>
      <c r="F293" s="17" t="inlineStr">
        <is>
          <t>Network_Condition=CORS Preflight Options request failure</t>
        </is>
      </c>
      <c r="G293" s="17" t="inlineStr">
        <is>
          <t>System responds resiliently. Blocks unauthorized cross-origin login attempts.</t>
        </is>
      </c>
      <c r="H293" s="16" t="inlineStr">
        <is>
          <t>Manual</t>
        </is>
      </c>
      <c r="I293" s="16" t="inlineStr">
        <is>
          <t>P3</t>
        </is>
      </c>
      <c r="J293" s="16" t="inlineStr">
        <is>
          <t>Medium</t>
        </is>
      </c>
      <c r="K293" s="15" t="inlineStr">
        <is>
          <t>AUTOMATED</t>
        </is>
      </c>
    </row>
    <row r="294" ht="20" customHeight="1">
      <c r="A294" s="13" t="inlineStr">
        <is>
          <t>TC_LOG_293</t>
        </is>
      </c>
      <c r="B294" s="14" t="inlineStr">
        <is>
          <t>Network, Latency &amp; Resilience</t>
        </is>
      </c>
      <c r="C294" s="14" t="inlineStr">
        <is>
          <t>Verify Network Resilience: SSL/TLS Certificate Validation</t>
        </is>
      </c>
      <c r="D294" s="14" t="inlineStr">
        <is>
          <t>Network condition simulation tool active</t>
        </is>
      </c>
      <c r="E294" s="14" t="inlineStr">
        <is>
          <t>1. Configure network profile (SSL/TLS Certificate Validation)
2. Submit login credentials
3. Observe client handling</t>
        </is>
      </c>
      <c r="F294" s="14" t="inlineStr">
        <is>
          <t>Network_Condition=SSL/TLS Certificate Validation</t>
        </is>
      </c>
      <c r="G294" s="14" t="inlineStr">
        <is>
          <t>System responds resiliently. Enforces HTTPS encryption on login payload POST.</t>
        </is>
      </c>
      <c r="H294" s="13" t="inlineStr">
        <is>
          <t>Manual</t>
        </is>
      </c>
      <c r="I294" s="13" t="inlineStr">
        <is>
          <t>P3</t>
        </is>
      </c>
      <c r="J294" s="13" t="inlineStr">
        <is>
          <t>Medium</t>
        </is>
      </c>
      <c r="K294" s="15" t="inlineStr">
        <is>
          <t>AUTOMATED</t>
        </is>
      </c>
    </row>
    <row r="295" ht="20" customHeight="1">
      <c r="A295" s="16" t="inlineStr">
        <is>
          <t>TC_LOG_294</t>
        </is>
      </c>
      <c r="B295" s="17" t="inlineStr">
        <is>
          <t>Network, Latency &amp; Resilience</t>
        </is>
      </c>
      <c r="C295" s="17" t="inlineStr">
        <is>
          <t>Verify Network Resilience: Proxy Server Header Forwarding (X-Forwarded-For)</t>
        </is>
      </c>
      <c r="D295" s="17" t="inlineStr">
        <is>
          <t>Network condition simulation tool active</t>
        </is>
      </c>
      <c r="E295" s="17" t="inlineStr">
        <is>
          <t>1. Configure network profile (Proxy Server Header Forwarding (X-Forwarded-For))
2. Submit login credentials
3. Observe client handling</t>
        </is>
      </c>
      <c r="F295" s="17" t="inlineStr">
        <is>
          <t>Network_Condition=Proxy Server Header Forwarding (X-Forwarded-For)</t>
        </is>
      </c>
      <c r="G295" s="17" t="inlineStr">
        <is>
          <t>System responds resiliently. Captures true client IP address accurately.</t>
        </is>
      </c>
      <c r="H295" s="16" t="inlineStr">
        <is>
          <t>Manual</t>
        </is>
      </c>
      <c r="I295" s="16" t="inlineStr">
        <is>
          <t>P3</t>
        </is>
      </c>
      <c r="J295" s="16" t="inlineStr">
        <is>
          <t>Medium</t>
        </is>
      </c>
      <c r="K295" s="15" t="inlineStr">
        <is>
          <t>AUTOMATED</t>
        </is>
      </c>
    </row>
    <row r="296" ht="20" customHeight="1">
      <c r="A296" s="13" t="inlineStr">
        <is>
          <t>TC_LOG_295</t>
        </is>
      </c>
      <c r="B296" s="14" t="inlineStr">
        <is>
          <t>Network, Latency &amp; Resilience</t>
        </is>
      </c>
      <c r="C296" s="14" t="inlineStr">
        <is>
          <t>Verify Network Resilience: Gzip / Brotli Compressed HTTP Response</t>
        </is>
      </c>
      <c r="D296" s="14" t="inlineStr">
        <is>
          <t>Network condition simulation tool active</t>
        </is>
      </c>
      <c r="E296" s="14" t="inlineStr">
        <is>
          <t>1. Configure network profile (Gzip / Brotli Compressed HTTP Response)
2. Submit login credentials
3. Observe client handling</t>
        </is>
      </c>
      <c r="F296" s="14" t="inlineStr">
        <is>
          <t>Network_Condition=Gzip / Brotli Compressed HTTP Response</t>
        </is>
      </c>
      <c r="G296" s="14" t="inlineStr">
        <is>
          <t>System responds resiliently. Decodes login assets cleanly.</t>
        </is>
      </c>
      <c r="H296" s="13" t="inlineStr">
        <is>
          <t>Manual</t>
        </is>
      </c>
      <c r="I296" s="13" t="inlineStr">
        <is>
          <t>P3</t>
        </is>
      </c>
      <c r="J296" s="13" t="inlineStr">
        <is>
          <t>Medium</t>
        </is>
      </c>
      <c r="K296" s="15" t="inlineStr">
        <is>
          <t>AUTOMATED</t>
        </is>
      </c>
    </row>
    <row r="297" ht="20" customHeight="1">
      <c r="A297" s="16" t="inlineStr">
        <is>
          <t>TC_LOG_296</t>
        </is>
      </c>
      <c r="B297" s="17" t="inlineStr">
        <is>
          <t>Network, Latency &amp; Resilience</t>
        </is>
      </c>
      <c r="C297" s="17" t="inlineStr">
        <is>
          <t>Verify Network Resilience: HTTP/2 Multiplexing Connection</t>
        </is>
      </c>
      <c r="D297" s="17" t="inlineStr">
        <is>
          <t>Network condition simulation tool active</t>
        </is>
      </c>
      <c r="E297" s="17" t="inlineStr">
        <is>
          <t>1. Configure network profile (HTTP/2 Multiplexing Connection)
2. Submit login credentials
3. Observe client handling</t>
        </is>
      </c>
      <c r="F297" s="17" t="inlineStr">
        <is>
          <t>Network_Condition=HTTP/2 Multiplexing Connection</t>
        </is>
      </c>
      <c r="G297" s="17" t="inlineStr">
        <is>
          <t>System responds resiliently. Loads CSS/JS login dependencies concurrently.</t>
        </is>
      </c>
      <c r="H297" s="16" t="inlineStr">
        <is>
          <t>Manual</t>
        </is>
      </c>
      <c r="I297" s="16" t="inlineStr">
        <is>
          <t>P3</t>
        </is>
      </c>
      <c r="J297" s="16" t="inlineStr">
        <is>
          <t>Medium</t>
        </is>
      </c>
      <c r="K297" s="15" t="inlineStr">
        <is>
          <t>AUTOMATED</t>
        </is>
      </c>
    </row>
    <row r="298" ht="20" customHeight="1">
      <c r="A298" s="13" t="inlineStr">
        <is>
          <t>TC_LOG_297</t>
        </is>
      </c>
      <c r="B298" s="14" t="inlineStr">
        <is>
          <t>Network, Latency &amp; Resilience</t>
        </is>
      </c>
      <c r="C298" s="14" t="inlineStr">
        <is>
          <t>Verify Network Resilience: Websocket connection interruption during login</t>
        </is>
      </c>
      <c r="D298" s="14" t="inlineStr">
        <is>
          <t>Network condition simulation tool active</t>
        </is>
      </c>
      <c r="E298" s="14" t="inlineStr">
        <is>
          <t>1. Configure network profile (Websocket connection interruption during login)
2. Submit login credentials
3. Observe client handling</t>
        </is>
      </c>
      <c r="F298" s="14" t="inlineStr">
        <is>
          <t>Network_Condition=Websocket connection interruption during login</t>
        </is>
      </c>
      <c r="G298" s="14" t="inlineStr">
        <is>
          <t>System responds resiliently. Does not break HTTP login authentication flow.</t>
        </is>
      </c>
      <c r="H298" s="13" t="inlineStr">
        <is>
          <t>Manual</t>
        </is>
      </c>
      <c r="I298" s="13" t="inlineStr">
        <is>
          <t>P3</t>
        </is>
      </c>
      <c r="J298" s="13" t="inlineStr">
        <is>
          <t>Medium</t>
        </is>
      </c>
      <c r="K298" s="15" t="inlineStr">
        <is>
          <t>AUTOMATED</t>
        </is>
      </c>
    </row>
    <row r="299" ht="20" customHeight="1">
      <c r="A299" s="16" t="inlineStr">
        <is>
          <t>TC_LOG_298</t>
        </is>
      </c>
      <c r="B299" s="17" t="inlineStr">
        <is>
          <t>Network, Latency &amp; Resilience</t>
        </is>
      </c>
      <c r="C299" s="17" t="inlineStr">
        <is>
          <t>Verify Network Resilience: Content-Security-Policy (CSP) enforcement</t>
        </is>
      </c>
      <c r="D299" s="17" t="inlineStr">
        <is>
          <t>Network condition simulation tool active</t>
        </is>
      </c>
      <c r="E299" s="17" t="inlineStr">
        <is>
          <t>1. Configure network profile (Content-Security-Policy (CSP) enforcement)
2. Submit login credentials
3. Observe client handling</t>
        </is>
      </c>
      <c r="F299" s="17" t="inlineStr">
        <is>
          <t>Network_Condition=Content-Security-Policy (CSP) enforcement</t>
        </is>
      </c>
      <c r="G299" s="17" t="inlineStr">
        <is>
          <t>System responds resiliently. Blocks unauthorized third-party script injection.</t>
        </is>
      </c>
      <c r="H299" s="16" t="inlineStr">
        <is>
          <t>Manual</t>
        </is>
      </c>
      <c r="I299" s="16" t="inlineStr">
        <is>
          <t>P3</t>
        </is>
      </c>
      <c r="J299" s="16" t="inlineStr">
        <is>
          <t>Medium</t>
        </is>
      </c>
      <c r="K299" s="15" t="inlineStr">
        <is>
          <t>AUTOMATED</t>
        </is>
      </c>
    </row>
    <row r="300" ht="20" customHeight="1">
      <c r="A300" s="13" t="inlineStr">
        <is>
          <t>TC_LOG_299</t>
        </is>
      </c>
      <c r="B300" s="14" t="inlineStr">
        <is>
          <t>Browser History &amp; Tab Management</t>
        </is>
      </c>
      <c r="C300" s="14" t="inlineStr">
        <is>
          <t>Verify Browser History Behavior: Browser Refresh (F5) on login page</t>
        </is>
      </c>
      <c r="D300" s="14" t="inlineStr">
        <is>
          <t>Browser automation instance running</t>
        </is>
      </c>
      <c r="E300" s="14" t="inlineStr">
        <is>
          <t>1. Perform browser action (Browser Refresh (F5) on login page)
2. Monitor history state &amp; URL redirect
3. Verify page state</t>
        </is>
      </c>
      <c r="F300" s="14" t="inlineStr">
        <is>
          <t>History_Test=Browser Refresh (F5) on login page</t>
        </is>
      </c>
      <c r="G300" s="14" t="inlineStr">
        <is>
          <t>Browser state handled properly. Retains empty form inputs cleanly.</t>
        </is>
      </c>
      <c r="H300" s="13" t="inlineStr">
        <is>
          <t>Automated (Selenium)</t>
        </is>
      </c>
      <c r="I300" s="13" t="inlineStr">
        <is>
          <t>P2</t>
        </is>
      </c>
      <c r="J300" s="13" t="inlineStr">
        <is>
          <t>Medium</t>
        </is>
      </c>
      <c r="K300" s="15" t="inlineStr">
        <is>
          <t>PASSED</t>
        </is>
      </c>
    </row>
    <row r="301" ht="20" customHeight="1">
      <c r="A301" s="16" t="inlineStr">
        <is>
          <t>TC_LOG_300</t>
        </is>
      </c>
      <c r="B301" s="17" t="inlineStr">
        <is>
          <t>Browser History &amp; Tab Management</t>
        </is>
      </c>
      <c r="C301" s="17" t="inlineStr">
        <is>
          <t>Verify Browser History Behavior: Browser Hard Refresh (Ctrl+F5 / Cmd+Shift+R)</t>
        </is>
      </c>
      <c r="D301" s="17" t="inlineStr">
        <is>
          <t>Browser automation instance running</t>
        </is>
      </c>
      <c r="E301" s="17" t="inlineStr">
        <is>
          <t>1. Perform browser action (Browser Hard Refresh (Ctrl+F5 / Cmd+Shift+R))
2. Monitor history state &amp; URL redirect
3. Verify page state</t>
        </is>
      </c>
      <c r="F301" s="17" t="inlineStr">
        <is>
          <t>History_Test=Browser Hard Refresh (Ctrl+F5 / Cmd+Shift+R)</t>
        </is>
      </c>
      <c r="G301" s="17" t="inlineStr">
        <is>
          <t>Browser state handled properly. Reloads fresh static assets without JS cache glitch.</t>
        </is>
      </c>
      <c r="H301" s="16" t="inlineStr">
        <is>
          <t>Automated (Selenium)</t>
        </is>
      </c>
      <c r="I301" s="16" t="inlineStr">
        <is>
          <t>P2</t>
        </is>
      </c>
      <c r="J301" s="16" t="inlineStr">
        <is>
          <t>Medium</t>
        </is>
      </c>
      <c r="K301" s="15" t="inlineStr">
        <is>
          <t>PASSED</t>
        </is>
      </c>
    </row>
    <row r="302" ht="20" customHeight="1">
      <c r="A302" s="13" t="inlineStr">
        <is>
          <t>TC_LOG_301</t>
        </is>
      </c>
      <c r="B302" s="14" t="inlineStr">
        <is>
          <t>Browser History &amp; Tab Management</t>
        </is>
      </c>
      <c r="C302" s="14" t="inlineStr">
        <is>
          <t>Verify Browser History Behavior: Browser Back button after successful login</t>
        </is>
      </c>
      <c r="D302" s="14" t="inlineStr">
        <is>
          <t>Browser automation instance running</t>
        </is>
      </c>
      <c r="E302" s="14" t="inlineStr">
        <is>
          <t>1. Perform browser action (Browser Back button after successful login)
2. Monitor history state &amp; URL redirect
3. Verify page state</t>
        </is>
      </c>
      <c r="F302" s="14" t="inlineStr">
        <is>
          <t>History_Test=Browser Back button after successful login</t>
        </is>
      </c>
      <c r="G302" s="14" t="inlineStr">
        <is>
          <t>Browser state handled properly. Does not show login page again or prompt form resubmission.</t>
        </is>
      </c>
      <c r="H302" s="13" t="inlineStr">
        <is>
          <t>Automated (Selenium)</t>
        </is>
      </c>
      <c r="I302" s="13" t="inlineStr">
        <is>
          <t>P2</t>
        </is>
      </c>
      <c r="J302" s="13" t="inlineStr">
        <is>
          <t>Medium</t>
        </is>
      </c>
      <c r="K302" s="15" t="inlineStr">
        <is>
          <t>PASSED</t>
        </is>
      </c>
    </row>
    <row r="303" ht="20" customHeight="1">
      <c r="A303" s="16" t="inlineStr">
        <is>
          <t>TC_LOG_302</t>
        </is>
      </c>
      <c r="B303" s="17" t="inlineStr">
        <is>
          <t>Browser History &amp; Tab Management</t>
        </is>
      </c>
      <c r="C303" s="17" t="inlineStr">
        <is>
          <t>Verify Browser History Behavior: Browser Forward button post-navigation</t>
        </is>
      </c>
      <c r="D303" s="17" t="inlineStr">
        <is>
          <t>Browser automation instance running</t>
        </is>
      </c>
      <c r="E303" s="17" t="inlineStr">
        <is>
          <t>1. Perform browser action (Browser Forward button post-navigation)
2. Monitor history state &amp; URL redirect
3. Verify page state</t>
        </is>
      </c>
      <c r="F303" s="17" t="inlineStr">
        <is>
          <t>History_Test=Browser Forward button post-navigation</t>
        </is>
      </c>
      <c r="G303" s="17" t="inlineStr">
        <is>
          <t>Browser state handled properly. Navigates smoothly between allowed authenticated pages.</t>
        </is>
      </c>
      <c r="H303" s="16" t="inlineStr">
        <is>
          <t>Automated (Selenium)</t>
        </is>
      </c>
      <c r="I303" s="16" t="inlineStr">
        <is>
          <t>P2</t>
        </is>
      </c>
      <c r="J303" s="16" t="inlineStr">
        <is>
          <t>Medium</t>
        </is>
      </c>
      <c r="K303" s="15" t="inlineStr">
        <is>
          <t>PASSED</t>
        </is>
      </c>
    </row>
    <row r="304" ht="20" customHeight="1">
      <c r="A304" s="13" t="inlineStr">
        <is>
          <t>TC_LOG_303</t>
        </is>
      </c>
      <c r="B304" s="14" t="inlineStr">
        <is>
          <t>Browser History &amp; Tab Management</t>
        </is>
      </c>
      <c r="C304" s="14" t="inlineStr">
        <is>
          <t>Verify Browser History Behavior: Opening login page in multiple browser tabs simultaneously</t>
        </is>
      </c>
      <c r="D304" s="14" t="inlineStr">
        <is>
          <t>Browser automation instance running</t>
        </is>
      </c>
      <c r="E304" s="14" t="inlineStr">
        <is>
          <t>1. Perform browser action (Opening login page in multiple browser tabs simultaneously)
2. Monitor history state &amp; URL redirect
3. Verify page state</t>
        </is>
      </c>
      <c r="F304" s="14" t="inlineStr">
        <is>
          <t>History_Test=Opening login page in multiple browser tabs simultaneously</t>
        </is>
      </c>
      <c r="G304" s="14" t="inlineStr">
        <is>
          <t>Browser state handled properly. Authenticating in Tab 1 updates Tab 2 on focus/refresh.</t>
        </is>
      </c>
      <c r="H304" s="13" t="inlineStr">
        <is>
          <t>Automated (Selenium)</t>
        </is>
      </c>
      <c r="I304" s="13" t="inlineStr">
        <is>
          <t>P2</t>
        </is>
      </c>
      <c r="J304" s="13" t="inlineStr">
        <is>
          <t>Medium</t>
        </is>
      </c>
      <c r="K304" s="15" t="inlineStr">
        <is>
          <t>PASSED</t>
        </is>
      </c>
    </row>
    <row r="305" ht="20" customHeight="1">
      <c r="A305" s="16" t="inlineStr">
        <is>
          <t>TC_LOG_304</t>
        </is>
      </c>
      <c r="B305" s="17" t="inlineStr">
        <is>
          <t>Browser History &amp; Tab Management</t>
        </is>
      </c>
      <c r="C305" s="17" t="inlineStr">
        <is>
          <t>Verify Browser History Behavior: Opening login page in Incognito / Private Window</t>
        </is>
      </c>
      <c r="D305" s="17" t="inlineStr">
        <is>
          <t>Browser automation instance running</t>
        </is>
      </c>
      <c r="E305" s="17" t="inlineStr">
        <is>
          <t>1. Perform browser action (Opening login page in Incognito / Private Window)
2. Monitor history state &amp; URL redirect
3. Verify page state</t>
        </is>
      </c>
      <c r="F305" s="17" t="inlineStr">
        <is>
          <t>History_Test=Opening login page in Incognito / Private Window</t>
        </is>
      </c>
      <c r="G305" s="17" t="inlineStr">
        <is>
          <t>Browser state handled properly. Does not share session storage with standard window.</t>
        </is>
      </c>
      <c r="H305" s="16" t="inlineStr">
        <is>
          <t>Automated (Selenium)</t>
        </is>
      </c>
      <c r="I305" s="16" t="inlineStr">
        <is>
          <t>P2</t>
        </is>
      </c>
      <c r="J305" s="16" t="inlineStr">
        <is>
          <t>Medium</t>
        </is>
      </c>
      <c r="K305" s="15" t="inlineStr">
        <is>
          <t>PASSED</t>
        </is>
      </c>
    </row>
    <row r="306" ht="20" customHeight="1">
      <c r="A306" s="13" t="inlineStr">
        <is>
          <t>TC_LOG_305</t>
        </is>
      </c>
      <c r="B306" s="14" t="inlineStr">
        <is>
          <t>Browser History &amp; Tab Management</t>
        </is>
      </c>
      <c r="C306" s="14" t="inlineStr">
        <is>
          <t>Verify Browser History Behavior: Closing browser window mid-session without logout</t>
        </is>
      </c>
      <c r="D306" s="14" t="inlineStr">
        <is>
          <t>Browser automation instance running</t>
        </is>
      </c>
      <c r="E306" s="14" t="inlineStr">
        <is>
          <t>1. Perform browser action (Closing browser window mid-session without logout)
2. Monitor history state &amp; URL redirect
3. Verify page state</t>
        </is>
      </c>
      <c r="F306" s="14" t="inlineStr">
        <is>
          <t>History_Test=Closing browser window mid-session without logout</t>
        </is>
      </c>
      <c r="G306" s="14" t="inlineStr">
        <is>
          <t>Browser state handled properly. Clears non-persistent session cookies.</t>
        </is>
      </c>
      <c r="H306" s="13" t="inlineStr">
        <is>
          <t>Automated (Selenium)</t>
        </is>
      </c>
      <c r="I306" s="13" t="inlineStr">
        <is>
          <t>P2</t>
        </is>
      </c>
      <c r="J306" s="13" t="inlineStr">
        <is>
          <t>Medium</t>
        </is>
      </c>
      <c r="K306" s="15" t="inlineStr">
        <is>
          <t>PASSED</t>
        </is>
      </c>
    </row>
    <row r="307" ht="20" customHeight="1">
      <c r="A307" s="16" t="inlineStr">
        <is>
          <t>TC_LOG_306</t>
        </is>
      </c>
      <c r="B307" s="17" t="inlineStr">
        <is>
          <t>Browser History &amp; Tab Management</t>
        </is>
      </c>
      <c r="C307" s="17" t="inlineStr">
        <is>
          <t>Verify Browser History Behavior: Re-opening closed browser window via Ctrl+Shift+T</t>
        </is>
      </c>
      <c r="D307" s="17" t="inlineStr">
        <is>
          <t>Browser automation instance running</t>
        </is>
      </c>
      <c r="E307" s="17" t="inlineStr">
        <is>
          <t>1. Perform browser action (Re-opening closed browser window via Ctrl+Shift+T)
2. Monitor history state &amp; URL redirect
3. Verify page state</t>
        </is>
      </c>
      <c r="F307" s="17" t="inlineStr">
        <is>
          <t>History_Test=Re-opening closed browser window via Ctrl+Shift+T</t>
        </is>
      </c>
      <c r="G307" s="17" t="inlineStr">
        <is>
          <t>Browser state handled properly. Requires re-authentication if non-persistent.</t>
        </is>
      </c>
      <c r="H307" s="16" t="inlineStr">
        <is>
          <t>Automated (Selenium)</t>
        </is>
      </c>
      <c r="I307" s="16" t="inlineStr">
        <is>
          <t>P2</t>
        </is>
      </c>
      <c r="J307" s="16" t="inlineStr">
        <is>
          <t>Medium</t>
        </is>
      </c>
      <c r="K307" s="15" t="inlineStr">
        <is>
          <t>PASSED</t>
        </is>
      </c>
    </row>
    <row r="308" ht="20" customHeight="1">
      <c r="A308" s="13" t="inlineStr">
        <is>
          <t>TC_LOG_307</t>
        </is>
      </c>
      <c r="B308" s="14" t="inlineStr">
        <is>
          <t>Browser History &amp; Tab Management</t>
        </is>
      </c>
      <c r="C308" s="14" t="inlineStr">
        <is>
          <t>Verify Browser History Behavior: Bookmarking login page URL</t>
        </is>
      </c>
      <c r="D308" s="14" t="inlineStr">
        <is>
          <t>Browser automation instance running</t>
        </is>
      </c>
      <c r="E308" s="14" t="inlineStr">
        <is>
          <t>1. Perform browser action (Bookmarking login page URL)
2. Monitor history state &amp; URL redirect
3. Verify page state</t>
        </is>
      </c>
      <c r="F308" s="14" t="inlineStr">
        <is>
          <t>History_Test=Bookmarking login page URL</t>
        </is>
      </c>
      <c r="G308" s="14" t="inlineStr">
        <is>
          <t>Browser state handled properly. Navigates directly to /auth/login when opened from bookmark.</t>
        </is>
      </c>
      <c r="H308" s="13" t="inlineStr">
        <is>
          <t>Automated (Selenium)</t>
        </is>
      </c>
      <c r="I308" s="13" t="inlineStr">
        <is>
          <t>P2</t>
        </is>
      </c>
      <c r="J308" s="13" t="inlineStr">
        <is>
          <t>Medium</t>
        </is>
      </c>
      <c r="K308" s="15" t="inlineStr">
        <is>
          <t>AUTOMATED</t>
        </is>
      </c>
    </row>
    <row r="309" ht="20" customHeight="1">
      <c r="A309" s="16" t="inlineStr">
        <is>
          <t>TC_LOG_308</t>
        </is>
      </c>
      <c r="B309" s="17" t="inlineStr">
        <is>
          <t>Browser History &amp; Tab Management</t>
        </is>
      </c>
      <c r="C309" s="17" t="inlineStr">
        <is>
          <t>Verify Browser History Behavior: Bookmarking dashboard URL while logged out</t>
        </is>
      </c>
      <c r="D309" s="17" t="inlineStr">
        <is>
          <t>Browser automation instance running</t>
        </is>
      </c>
      <c r="E309" s="17" t="inlineStr">
        <is>
          <t>1. Perform browser action (Bookmarking dashboard URL while logged out)
2. Monitor history state &amp; URL redirect
3. Verify page state</t>
        </is>
      </c>
      <c r="F309" s="17" t="inlineStr">
        <is>
          <t>History_Test=Bookmarking dashboard URL while logged out</t>
        </is>
      </c>
      <c r="G309" s="17" t="inlineStr">
        <is>
          <t>Browser state handled properly. Redirects automatically from bookmark to /auth/login.</t>
        </is>
      </c>
      <c r="H309" s="16" t="inlineStr">
        <is>
          <t>Automated (Selenium)</t>
        </is>
      </c>
      <c r="I309" s="16" t="inlineStr">
        <is>
          <t>P2</t>
        </is>
      </c>
      <c r="J309" s="16" t="inlineStr">
        <is>
          <t>Medium</t>
        </is>
      </c>
      <c r="K309" s="15" t="inlineStr">
        <is>
          <t>AUTOMATED</t>
        </is>
      </c>
    </row>
    <row r="310" ht="20" customHeight="1">
      <c r="A310" s="13" t="inlineStr">
        <is>
          <t>TC_LOG_309</t>
        </is>
      </c>
      <c r="B310" s="14" t="inlineStr">
        <is>
          <t>Browser History &amp; Tab Management</t>
        </is>
      </c>
      <c r="C310" s="14" t="inlineStr">
        <is>
          <t>Verify Browser History Behavior: Cross-tab logout synchronization</t>
        </is>
      </c>
      <c r="D310" s="14" t="inlineStr">
        <is>
          <t>Browser automation instance running</t>
        </is>
      </c>
      <c r="E310" s="14" t="inlineStr">
        <is>
          <t>1. Perform browser action (Cross-tab logout synchronization)
2. Monitor history state &amp; URL redirect
3. Verify page state</t>
        </is>
      </c>
      <c r="F310" s="14" t="inlineStr">
        <is>
          <t>History_Test=Cross-tab logout synchronization</t>
        </is>
      </c>
      <c r="G310" s="14" t="inlineStr">
        <is>
          <t>Browser state handled properly. Logging out in Tab 1 invalidates active session in Tab 2.</t>
        </is>
      </c>
      <c r="H310" s="13" t="inlineStr">
        <is>
          <t>Manual</t>
        </is>
      </c>
      <c r="I310" s="13" t="inlineStr">
        <is>
          <t>P3</t>
        </is>
      </c>
      <c r="J310" s="13" t="inlineStr">
        <is>
          <t>Low</t>
        </is>
      </c>
      <c r="K310" s="15" t="inlineStr">
        <is>
          <t>AUTOMATED</t>
        </is>
      </c>
    </row>
    <row r="311" ht="20" customHeight="1">
      <c r="A311" s="16" t="inlineStr">
        <is>
          <t>TC_LOG_310</t>
        </is>
      </c>
      <c r="B311" s="17" t="inlineStr">
        <is>
          <t>Browser History &amp; Tab Management</t>
        </is>
      </c>
      <c r="C311" s="17" t="inlineStr">
        <is>
          <t>Verify Browser History Behavior: Page title update dynamically on route change</t>
        </is>
      </c>
      <c r="D311" s="17" t="inlineStr">
        <is>
          <t>Browser automation instance running</t>
        </is>
      </c>
      <c r="E311" s="17" t="inlineStr">
        <is>
          <t>1. Perform browser action (Page title update dynamically on route change)
2. Monitor history state &amp; URL redirect
3. Verify page state</t>
        </is>
      </c>
      <c r="F311" s="17" t="inlineStr">
        <is>
          <t>History_Test=Page title update dynamically on route change</t>
        </is>
      </c>
      <c r="G311" s="17" t="inlineStr">
        <is>
          <t>Browser state handled properly. Title updates from 'Login' to 'Dashboard'.</t>
        </is>
      </c>
      <c r="H311" s="16" t="inlineStr">
        <is>
          <t>Manual</t>
        </is>
      </c>
      <c r="I311" s="16" t="inlineStr">
        <is>
          <t>P3</t>
        </is>
      </c>
      <c r="J311" s="16" t="inlineStr">
        <is>
          <t>Low</t>
        </is>
      </c>
      <c r="K311" s="15" t="inlineStr">
        <is>
          <t>AUTOMATED</t>
        </is>
      </c>
    </row>
    <row r="312" ht="20" customHeight="1">
      <c r="A312" s="13" t="inlineStr">
        <is>
          <t>TC_LOG_311</t>
        </is>
      </c>
      <c r="B312" s="14" t="inlineStr">
        <is>
          <t>Browser History &amp; Tab Management</t>
        </is>
      </c>
      <c r="C312" s="14" t="inlineStr">
        <is>
          <t>Verify Browser History Behavior: URL hash Fragment navigation handling</t>
        </is>
      </c>
      <c r="D312" s="14" t="inlineStr">
        <is>
          <t>Browser automation instance running</t>
        </is>
      </c>
      <c r="E312" s="14" t="inlineStr">
        <is>
          <t>1. Perform browser action (URL hash Fragment navigation handling)
2. Monitor history state &amp; URL redirect
3. Verify page state</t>
        </is>
      </c>
      <c r="F312" s="14" t="inlineStr">
        <is>
          <t>History_Test=URL hash Fragment navigation handling</t>
        </is>
      </c>
      <c r="G312" s="14" t="inlineStr">
        <is>
          <t>Browser state handled properly. Retains fragment parameters if present in URL.</t>
        </is>
      </c>
      <c r="H312" s="13" t="inlineStr">
        <is>
          <t>Manual</t>
        </is>
      </c>
      <c r="I312" s="13" t="inlineStr">
        <is>
          <t>P3</t>
        </is>
      </c>
      <c r="J312" s="13" t="inlineStr">
        <is>
          <t>Low</t>
        </is>
      </c>
      <c r="K312" s="15" t="inlineStr">
        <is>
          <t>AUTOMATED</t>
        </is>
      </c>
    </row>
    <row r="313" ht="20" customHeight="1">
      <c r="A313" s="16" t="inlineStr">
        <is>
          <t>TC_LOG_312</t>
        </is>
      </c>
      <c r="B313" s="17" t="inlineStr">
        <is>
          <t>Browser History &amp; Tab Management</t>
        </is>
      </c>
      <c r="C313" s="17" t="inlineStr">
        <is>
          <t>Verify Browser History Behavior: Query parameter persistence across login redirect</t>
        </is>
      </c>
      <c r="D313" s="17" t="inlineStr">
        <is>
          <t>Browser automation instance running</t>
        </is>
      </c>
      <c r="E313" s="17" t="inlineStr">
        <is>
          <t>1. Perform browser action (Query parameter persistence across login redirect)
2. Monitor history state &amp; URL redirect
3. Verify page state</t>
        </is>
      </c>
      <c r="F313" s="17" t="inlineStr">
        <is>
          <t>History_Test=Query parameter persistence across login redirect</t>
        </is>
      </c>
      <c r="G313" s="17" t="inlineStr">
        <is>
          <t>Browser state handled properly. Preserves return URL parameters like ?next=/settings.</t>
        </is>
      </c>
      <c r="H313" s="16" t="inlineStr">
        <is>
          <t>Manual</t>
        </is>
      </c>
      <c r="I313" s="16" t="inlineStr">
        <is>
          <t>P3</t>
        </is>
      </c>
      <c r="J313" s="16" t="inlineStr">
        <is>
          <t>Low</t>
        </is>
      </c>
      <c r="K313" s="15" t="inlineStr">
        <is>
          <t>AUTOMATED</t>
        </is>
      </c>
    </row>
    <row r="314" ht="20" customHeight="1">
      <c r="A314" s="13" t="inlineStr">
        <is>
          <t>TC_LOG_313</t>
        </is>
      </c>
      <c r="B314" s="14" t="inlineStr">
        <is>
          <t>Browser History &amp; Tab Management</t>
        </is>
      </c>
      <c r="C314" s="14" t="inlineStr">
        <is>
          <t>Verify Browser History Behavior: Browser state history pushState validation</t>
        </is>
      </c>
      <c r="D314" s="14" t="inlineStr">
        <is>
          <t>Browser automation instance running</t>
        </is>
      </c>
      <c r="E314" s="14" t="inlineStr">
        <is>
          <t>1. Perform browser action (Browser state history pushState validation)
2. Monitor history state &amp; URL redirect
3. Verify page state</t>
        </is>
      </c>
      <c r="F314" s="14" t="inlineStr">
        <is>
          <t>History_Test=Browser state history pushState validation</t>
        </is>
      </c>
      <c r="G314" s="14" t="inlineStr">
        <is>
          <t>Browser state handled properly. Clean URL path management without exposed tokens.</t>
        </is>
      </c>
      <c r="H314" s="13" t="inlineStr">
        <is>
          <t>Manual</t>
        </is>
      </c>
      <c r="I314" s="13" t="inlineStr">
        <is>
          <t>P3</t>
        </is>
      </c>
      <c r="J314" s="13" t="inlineStr">
        <is>
          <t>Low</t>
        </is>
      </c>
      <c r="K314" s="15" t="inlineStr">
        <is>
          <t>AUTOMATED</t>
        </is>
      </c>
    </row>
    <row r="315" ht="20" customHeight="1">
      <c r="A315" s="16" t="inlineStr">
        <is>
          <t>TC_LOG_314</t>
        </is>
      </c>
      <c r="B315" s="17" t="inlineStr">
        <is>
          <t>Browser History &amp; Tab Management</t>
        </is>
      </c>
      <c r="C315" s="17" t="inlineStr">
        <is>
          <t>Verify Browser History Behavior: Third-party extension interference check</t>
        </is>
      </c>
      <c r="D315" s="17" t="inlineStr">
        <is>
          <t>Browser automation instance running</t>
        </is>
      </c>
      <c r="E315" s="17" t="inlineStr">
        <is>
          <t>1. Perform browser action (Third-party extension interference check)
2. Monitor history state &amp; URL redirect
3. Verify page state</t>
        </is>
      </c>
      <c r="F315" s="17" t="inlineStr">
        <is>
          <t>History_Test=Third-party extension interference check</t>
        </is>
      </c>
      <c r="G315" s="17" t="inlineStr">
        <is>
          <t>Browser state handled properly. Password manager extensions populate inputs cleanly.</t>
        </is>
      </c>
      <c r="H315" s="16" t="inlineStr">
        <is>
          <t>Manual</t>
        </is>
      </c>
      <c r="I315" s="16" t="inlineStr">
        <is>
          <t>P3</t>
        </is>
      </c>
      <c r="J315" s="16" t="inlineStr">
        <is>
          <t>Low</t>
        </is>
      </c>
      <c r="K315" s="15" t="inlineStr">
        <is>
          <t>AUTOMATED</t>
        </is>
      </c>
    </row>
    <row r="316" ht="20" customHeight="1">
      <c r="A316" s="13" t="inlineStr">
        <is>
          <t>TC_LOG_315</t>
        </is>
      </c>
      <c r="B316" s="14" t="inlineStr">
        <is>
          <t>Browser History &amp; Tab Management</t>
        </is>
      </c>
      <c r="C316" s="14" t="inlineStr">
        <is>
          <t>Verify Browser History Behavior: Browser clear cache and cookies action</t>
        </is>
      </c>
      <c r="D316" s="14" t="inlineStr">
        <is>
          <t>Browser automation instance running</t>
        </is>
      </c>
      <c r="E316" s="14" t="inlineStr">
        <is>
          <t>1. Perform browser action (Browser clear cache and cookies action)
2. Monitor history state &amp; URL redirect
3. Verify page state</t>
        </is>
      </c>
      <c r="F316" s="14" t="inlineStr">
        <is>
          <t>History_Test=Browser clear cache and cookies action</t>
        </is>
      </c>
      <c r="G316" s="14" t="inlineStr">
        <is>
          <t>Browser state handled properly. Forces clean login state on next page request.</t>
        </is>
      </c>
      <c r="H316" s="13" t="inlineStr">
        <is>
          <t>Manual</t>
        </is>
      </c>
      <c r="I316" s="13" t="inlineStr">
        <is>
          <t>P3</t>
        </is>
      </c>
      <c r="J316" s="13" t="inlineStr">
        <is>
          <t>Low</t>
        </is>
      </c>
      <c r="K316" s="15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2026-08-10T16:20:55Z</dcterms:created>
  <dcterms:modified xsi:type="dcterms:W3CDTF">2026-08-10T16:20:55Z</dcterms:modified>
</cp:coreProperties>
</file>