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E79"/>
      <sz val="12"/>
    </font>
    <font>
      <name val="Segoe UI"/>
      <b val="1"/>
      <color rgb="00000000"/>
      <sz val="9"/>
    </font>
    <font>
      <name val="Segoe UI"/>
      <color rgb="00000000"/>
      <sz val="9"/>
    </font>
    <font>
      <name val="Segoe UI"/>
      <b val="1"/>
      <color rgb="00FFFFFF"/>
      <sz val="10"/>
    </font>
    <font>
      <name val="Segoe UI"/>
      <b val="1"/>
      <color rgb="00375623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26" customWidth="1" min="8" max="8"/>
  </cols>
  <sheetData>
    <row r="1">
      <c r="A1" s="1" t="inlineStr">
        <is>
          <t>E2E MOBILE APP FUNCTIONALITY TEST SUITE (APPIUM)</t>
        </is>
      </c>
    </row>
    <row r="2"/>
    <row r="3"/>
    <row r="4">
      <c r="A4" s="2" t="inlineStr">
        <is>
          <t>Mobile App Test Environment Metadata</t>
        </is>
      </c>
      <c r="D4" s="2" t="inlineStr">
        <is>
          <t>Appium Mobile Execution Metrics</t>
        </is>
      </c>
    </row>
    <row r="5">
      <c r="A5" s="3" t="inlineStr">
        <is>
          <t>Application Name:</t>
        </is>
      </c>
      <c r="B5" s="4" t="inlineStr">
        <is>
          <t>SNSOC Smart Security Mobile App</t>
        </is>
      </c>
      <c r="D5" s="5" t="inlineStr">
        <is>
          <t>Metric Parameter</t>
        </is>
      </c>
      <c r="E5" s="5" t="inlineStr">
        <is>
          <t>Count / Formula Value</t>
        </is>
      </c>
      <c r="F5" s="5" t="inlineStr">
        <is>
          <t>% of Total</t>
        </is>
      </c>
    </row>
    <row r="6">
      <c r="A6" s="3" t="inlineStr">
        <is>
          <t>Test Scope:</t>
        </is>
      </c>
      <c r="B6" s="4" t="inlineStr">
        <is>
          <t>Mobile Frontend E2E Functionality &amp; Security</t>
        </is>
      </c>
      <c r="D6" s="3" t="inlineStr">
        <is>
          <t>Total Mobile Test Cases</t>
        </is>
      </c>
      <c r="E6" s="6">
        <f>COUNTA('Test Case Details'!A2:A316)</f>
        <v/>
      </c>
      <c r="F6" s="7" t="inlineStr">
        <is>
          <t>100.0%</t>
        </is>
      </c>
    </row>
    <row r="7">
      <c r="A7" s="3" t="inlineStr">
        <is>
          <t>Automation Tool Stack:</t>
        </is>
      </c>
      <c r="B7" s="4" t="inlineStr">
        <is>
          <t>Appium v2.5 (UiAutomator2 / XCUITest)</t>
        </is>
      </c>
      <c r="D7" s="3" t="inlineStr">
        <is>
          <t>Automated Test Cases (Appium)</t>
        </is>
      </c>
      <c r="E7" s="6">
        <f>COUNTIF('Test Case Details'!H2:H316, "Automated (Appium)")</f>
        <v/>
      </c>
      <c r="F7" s="7">
        <f>COUNTIF('Test Case Details'!H2:H316, "Automated (Appium)")/COUNTA('Test Case Details'!A2:A316)</f>
        <v/>
      </c>
    </row>
    <row r="8">
      <c r="A8" s="3" t="inlineStr">
        <is>
          <t>Total Mobile Test Cases:</t>
        </is>
      </c>
      <c r="B8" s="4" t="inlineStr">
        <is>
          <t>315 Test Scenarios</t>
        </is>
      </c>
      <c r="D8" s="3" t="inlineStr">
        <is>
          <t>Manual Device Test Cases</t>
        </is>
      </c>
      <c r="E8" s="6">
        <f>COUNTIF('Test Case Details'!H2:H316, "Manual")</f>
        <v/>
      </c>
      <c r="F8" s="7">
        <f>COUNTIF('Test Case Details'!H2:H316, "Manual")/COUNTA('Test Case Details'!A2:A316)</f>
        <v/>
      </c>
    </row>
    <row r="9">
      <c r="A9" s="3" t="inlineStr">
        <is>
          <t>Mobile OS Target:</t>
        </is>
      </c>
      <c r="B9" s="4" t="inlineStr">
        <is>
          <t>Android (10 - 14) &amp; iOS (15.0 - 17.2)</t>
        </is>
      </c>
      <c r="D9" s="3" t="inlineStr">
        <is>
          <t>Total Passed Mobile Tests</t>
        </is>
      </c>
      <c r="E9" s="6">
        <f>COUNTIF('Test Case Details'!K2:K316, "PASSED") + COUNTIF('Test Case Details'!K2:K316, "AUTOMATED")</f>
        <v/>
      </c>
      <c r="F9" s="7">
        <f>(COUNTIF('Test Case Details'!K2:K316, "PASSED") + COUNTIF('Test Case Details'!K2:K316, "AUTOMATED"))/COUNTA('Test Case Details'!A2:A316)</f>
        <v/>
      </c>
    </row>
    <row r="10">
      <c r="A10" s="3" t="inlineStr">
        <is>
          <t>Appium Driver Host:</t>
        </is>
      </c>
      <c r="B10" s="4" t="inlineStr">
        <is>
          <t>127.0.0.1:4723 / Remote Grid</t>
        </is>
      </c>
      <c r="D10" s="3" t="inlineStr">
        <is>
          <t>Total Failed Mobile Tests</t>
        </is>
      </c>
      <c r="E10" s="6">
        <f>COUNTIF('Test Case Details'!K2:K316, "FAILED")</f>
        <v/>
      </c>
      <c r="F10" s="7">
        <f>COUNTIF('Test Case Details'!K2:K316, "FAILED")/COUNTA('Test Case Details'!A2:A316)</f>
        <v/>
      </c>
    </row>
    <row r="11">
      <c r="A11" s="3" t="inlineStr">
        <is>
          <t>Generated Date:</t>
        </is>
      </c>
      <c r="B11" s="4" t="inlineStr">
        <is>
          <t>2026-08-10</t>
        </is>
      </c>
      <c r="D11" s="3" t="inlineStr">
        <is>
          <t>Pending Review Tests</t>
        </is>
      </c>
      <c r="E11" s="6">
        <f>COUNTIF('Test Case Details'!K2:K316, "PENDING")</f>
        <v/>
      </c>
      <c r="F11" s="7">
        <f>COUNTIF('Test Case Details'!K2:K316, "PENDING")/COUNTA('Test Case Details'!A2:A316)</f>
        <v/>
      </c>
    </row>
    <row r="12">
      <c r="A12" s="3" t="inlineStr">
        <is>
          <t>Execution Status:</t>
        </is>
      </c>
      <c r="B12" s="4" t="inlineStr">
        <is>
          <t>Suite Completed &amp; Verified</t>
        </is>
      </c>
    </row>
    <row r="13"/>
    <row r="14">
      <c r="A14" s="2" t="inlineStr">
        <is>
          <t>Appium Test Cases Breakdown by Category</t>
        </is>
      </c>
    </row>
    <row r="15">
      <c r="A15" s="8" t="inlineStr">
        <is>
          <t>Category / Feature Area</t>
        </is>
      </c>
      <c r="B15" s="8" t="inlineStr">
        <is>
          <t>Total Cases</t>
        </is>
      </c>
      <c r="C15" s="8" t="inlineStr">
        <is>
          <t>Automated</t>
        </is>
      </c>
      <c r="D15" s="8" t="inlineStr">
        <is>
          <t>Manual</t>
        </is>
      </c>
      <c r="E15" s="8" t="inlineStr">
        <is>
          <t>Passed</t>
        </is>
      </c>
      <c r="F15" s="8" t="inlineStr">
        <is>
          <t>Failed</t>
        </is>
      </c>
      <c r="G15" s="8" t="inlineStr">
        <is>
          <t>Pending</t>
        </is>
      </c>
      <c r="H15" s="8" t="inlineStr">
        <is>
          <t>Pass Rate %</t>
        </is>
      </c>
    </row>
    <row r="16">
      <c r="A16" s="3" t="inlineStr">
        <is>
          <t>1. Authentication &amp; Passcode Setup</t>
        </is>
      </c>
      <c r="B16" s="6">
        <f>COUNTIF('Test Case Details'!B2:B316, "*Authentication &amp; Passcode Setup*")</f>
        <v/>
      </c>
      <c r="C16" s="6">
        <f>COUNTIFS('Test Case Details'!B2:B316, "*Authentication &amp; Passcode Setup*", 'Test Case Details'!H2:H316, "Automated (Appium)")</f>
        <v/>
      </c>
      <c r="D16" s="6">
        <f>COUNTIFS('Test Case Details'!B2:B316, "*Authentication &amp; Passcode Setup*", 'Test Case Details'!H2:H316, "Manual")</f>
        <v/>
      </c>
      <c r="E16" s="6">
        <f>COUNTIFS('Test Case Details'!B2:B316, "*Authentication &amp; Passcode Setup*", 'Test Case Details'!K2:K316, "PASSED") + COUNTIFS('Test Case Details'!B2:B316, "*Authentication &amp; Passcode Setup*", 'Test Case Details'!K2:K316, "AUTOMATED")</f>
        <v/>
      </c>
      <c r="F16" s="6">
        <f>COUNTIFS('Test Case Details'!B2:B316, "*Authentication &amp; Passcode Setup*", 'Test Case Details'!K2:K316, "FAILED")</f>
        <v/>
      </c>
      <c r="G16" s="6">
        <f>COUNTIFS('Test Case Details'!B2:B316, "*Authentication &amp; Passcode Setup*", 'Test Case Details'!K2:K316, "PENDING")</f>
        <v/>
      </c>
      <c r="H16" s="7">
        <f>IF(B16&gt;0, E16/B16, 0)</f>
        <v/>
      </c>
    </row>
    <row r="17">
      <c r="A17" s="3" t="inlineStr">
        <is>
          <t>2. Telemetry &amp; Live Traffic View</t>
        </is>
      </c>
      <c r="B17" s="6">
        <f>COUNTIF('Test Case Details'!B2:B316, "*Telemetry &amp; Live Traffic View*")</f>
        <v/>
      </c>
      <c r="C17" s="6">
        <f>COUNTIFS('Test Case Details'!B2:B316, "*Telemetry &amp; Live Traffic View*", 'Test Case Details'!H2:H316, "Automated (Appium)")</f>
        <v/>
      </c>
      <c r="D17" s="6">
        <f>COUNTIFS('Test Case Details'!B2:B316, "*Telemetry &amp; Live Traffic View*", 'Test Case Details'!H2:H316, "Manual")</f>
        <v/>
      </c>
      <c r="E17" s="6">
        <f>COUNTIFS('Test Case Details'!B2:B316, "*Telemetry &amp; Live Traffic View*", 'Test Case Details'!K2:K316, "PASSED") + COUNTIFS('Test Case Details'!B2:B316, "*Telemetry &amp; Live Traffic View*", 'Test Case Details'!K2:K316, "AUTOMATED")</f>
        <v/>
      </c>
      <c r="F17" s="6">
        <f>COUNTIFS('Test Case Details'!B2:B316, "*Telemetry &amp; Live Traffic View*", 'Test Case Details'!K2:K316, "FAILED")</f>
        <v/>
      </c>
      <c r="G17" s="6">
        <f>COUNTIFS('Test Case Details'!B2:B316, "*Telemetry &amp; Live Traffic View*", 'Test Case Details'!K2:K316, "PENDING")</f>
        <v/>
      </c>
      <c r="H17" s="7">
        <f>IF(B17&gt;0, E17/B17, 0)</f>
        <v/>
      </c>
    </row>
    <row r="18">
      <c r="A18" s="3" t="inlineStr">
        <is>
          <t>3. Intel Lookup &amp; Threat Score Gauge</t>
        </is>
      </c>
      <c r="B18" s="6">
        <f>COUNTIF('Test Case Details'!B2:B316, "*Intel Lookup &amp; Threat Score Gauge*")</f>
        <v/>
      </c>
      <c r="C18" s="6">
        <f>COUNTIFS('Test Case Details'!B2:B316, "*Intel Lookup &amp; Threat Score Gauge*", 'Test Case Details'!H2:H316, "Automated (Appium)")</f>
        <v/>
      </c>
      <c r="D18" s="6">
        <f>COUNTIFS('Test Case Details'!B2:B316, "*Intel Lookup &amp; Threat Score Gauge*", 'Test Case Details'!H2:H316, "Manual")</f>
        <v/>
      </c>
      <c r="E18" s="6">
        <f>COUNTIFS('Test Case Details'!B2:B316, "*Intel Lookup &amp; Threat Score Gauge*", 'Test Case Details'!K2:K316, "PASSED") + COUNTIFS('Test Case Details'!B2:B316, "*Intel Lookup &amp; Threat Score Gauge*", 'Test Case Details'!K2:K316, "AUTOMATED")</f>
        <v/>
      </c>
      <c r="F18" s="6">
        <f>COUNTIFS('Test Case Details'!B2:B316, "*Intel Lookup &amp; Threat Score Gauge*", 'Test Case Details'!K2:K316, "FAILED")</f>
        <v/>
      </c>
      <c r="G18" s="6">
        <f>COUNTIFS('Test Case Details'!B2:B316, "*Intel Lookup &amp; Threat Score Gauge*", 'Test Case Details'!K2:K316, "PENDING")</f>
        <v/>
      </c>
      <c r="H18" s="7">
        <f>IF(B18&gt;0, E18/B18, 0)</f>
        <v/>
      </c>
    </row>
    <row r="19">
      <c r="A19" s="3" t="inlineStr">
        <is>
          <t>4. Stadium Zone Switcher &amp; Filters</t>
        </is>
      </c>
      <c r="B19" s="6">
        <f>COUNTIF('Test Case Details'!B2:B316, "*Stadium Zone Switcher &amp; Filters*")</f>
        <v/>
      </c>
      <c r="C19" s="6">
        <f>COUNTIFS('Test Case Details'!B2:B316, "*Stadium Zone Switcher &amp; Filters*", 'Test Case Details'!H2:H316, "Automated (Appium)")</f>
        <v/>
      </c>
      <c r="D19" s="6">
        <f>COUNTIFS('Test Case Details'!B2:B316, "*Stadium Zone Switcher &amp; Filters*", 'Test Case Details'!H2:H316, "Manual")</f>
        <v/>
      </c>
      <c r="E19" s="6">
        <f>COUNTIFS('Test Case Details'!B2:B316, "*Stadium Zone Switcher &amp; Filters*", 'Test Case Details'!K2:K316, "PASSED") + COUNTIFS('Test Case Details'!B2:B316, "*Stadium Zone Switcher &amp; Filters*", 'Test Case Details'!K2:K316, "AUTOMATED")</f>
        <v/>
      </c>
      <c r="F19" s="6">
        <f>COUNTIFS('Test Case Details'!B2:B316, "*Stadium Zone Switcher &amp; Filters*", 'Test Case Details'!K2:K316, "FAILED")</f>
        <v/>
      </c>
      <c r="G19" s="6">
        <f>COUNTIFS('Test Case Details'!B2:B316, "*Stadium Zone Switcher &amp; Filters*", 'Test Case Details'!K2:K316, "PENDING")</f>
        <v/>
      </c>
      <c r="H19" s="7">
        <f>IF(B19&gt;0, E19/B19, 0)</f>
        <v/>
      </c>
    </row>
    <row r="20">
      <c r="A20" s="3" t="inlineStr">
        <is>
          <t>5. Gesture Navigation &amp; Touch Controls</t>
        </is>
      </c>
      <c r="B20" s="6">
        <f>COUNTIF('Test Case Details'!B2:B316, "*Gesture Navigation &amp; Touch Controls*")</f>
        <v/>
      </c>
      <c r="C20" s="6">
        <f>COUNTIFS('Test Case Details'!B2:B316, "*Gesture Navigation &amp; Touch Controls*", 'Test Case Details'!H2:H316, "Automated (Appium)")</f>
        <v/>
      </c>
      <c r="D20" s="6">
        <f>COUNTIFS('Test Case Details'!B2:B316, "*Gesture Navigation &amp; Touch Controls*", 'Test Case Details'!H2:H316, "Manual")</f>
        <v/>
      </c>
      <c r="E20" s="6">
        <f>COUNTIFS('Test Case Details'!B2:B316, "*Gesture Navigation &amp; Touch Controls*", 'Test Case Details'!K2:K316, "PASSED") + COUNTIFS('Test Case Details'!B2:B316, "*Gesture Navigation &amp; Touch Controls*", 'Test Case Details'!K2:K316, "AUTOMATED")</f>
        <v/>
      </c>
      <c r="F20" s="6">
        <f>COUNTIFS('Test Case Details'!B2:B316, "*Gesture Navigation &amp; Touch Controls*", 'Test Case Details'!K2:K316, "FAILED")</f>
        <v/>
      </c>
      <c r="G20" s="6">
        <f>COUNTIFS('Test Case Details'!B2:B316, "*Gesture Navigation &amp; Touch Controls*", 'Test Case Details'!K2:K316, "PENDING")</f>
        <v/>
      </c>
      <c r="H20" s="7">
        <f>IF(B20&gt;0, E20/B20, 0)</f>
        <v/>
      </c>
    </row>
    <row r="21">
      <c r="A21" s="3" t="inlineStr">
        <is>
          <t>6. Offline Mode &amp; Local Cache Sync</t>
        </is>
      </c>
      <c r="B21" s="6">
        <f>COUNTIF('Test Case Details'!B2:B316, "*Offline Mode &amp; Local Cache Sync*")</f>
        <v/>
      </c>
      <c r="C21" s="6">
        <f>COUNTIFS('Test Case Details'!B2:B316, "*Offline Mode &amp; Local Cache Sync*", 'Test Case Details'!H2:H316, "Automated (Appium)")</f>
        <v/>
      </c>
      <c r="D21" s="6">
        <f>COUNTIFS('Test Case Details'!B2:B316, "*Offline Mode &amp; Local Cache Sync*", 'Test Case Details'!H2:H316, "Manual")</f>
        <v/>
      </c>
      <c r="E21" s="6">
        <f>COUNTIFS('Test Case Details'!B2:B316, "*Offline Mode &amp; Local Cache Sync*", 'Test Case Details'!K2:K316, "PASSED") + COUNTIFS('Test Case Details'!B2:B316, "*Offline Mode &amp; Local Cache Sync*", 'Test Case Details'!K2:K316, "AUTOMATED")</f>
        <v/>
      </c>
      <c r="F21" s="6">
        <f>COUNTIFS('Test Case Details'!B2:B316, "*Offline Mode &amp; Local Cache Sync*", 'Test Case Details'!K2:K316, "FAILED")</f>
        <v/>
      </c>
      <c r="G21" s="6">
        <f>COUNTIFS('Test Case Details'!B2:B316, "*Offline Mode &amp; Local Cache Sync*", 'Test Case Details'!K2:K316, "PENDING")</f>
        <v/>
      </c>
      <c r="H21" s="7">
        <f>IF(B21&gt;0, E21/B21, 0)</f>
        <v/>
      </c>
    </row>
    <row r="22">
      <c r="A22" s="3" t="inlineStr">
        <is>
          <t>7. Push Notifications &amp; Alert Triggers</t>
        </is>
      </c>
      <c r="B22" s="6">
        <f>COUNTIF('Test Case Details'!B2:B316, "*Push Notifications &amp; Alert Triggers*")</f>
        <v/>
      </c>
      <c r="C22" s="6">
        <f>COUNTIFS('Test Case Details'!B2:B316, "*Push Notifications &amp; Alert Triggers*", 'Test Case Details'!H2:H316, "Automated (Appium)")</f>
        <v/>
      </c>
      <c r="D22" s="6">
        <f>COUNTIFS('Test Case Details'!B2:B316, "*Push Notifications &amp; Alert Triggers*", 'Test Case Details'!H2:H316, "Manual")</f>
        <v/>
      </c>
      <c r="E22" s="6">
        <f>COUNTIFS('Test Case Details'!B2:B316, "*Push Notifications &amp; Alert Triggers*", 'Test Case Details'!K2:K316, "PASSED") + COUNTIFS('Test Case Details'!B2:B316, "*Push Notifications &amp; Alert Triggers*", 'Test Case Details'!K2:K316, "AUTOMATED")</f>
        <v/>
      </c>
      <c r="F22" s="6">
        <f>COUNTIFS('Test Case Details'!B2:B316, "*Push Notifications &amp; Alert Triggers*", 'Test Case Details'!K2:K316, "FAILED")</f>
        <v/>
      </c>
      <c r="G22" s="6">
        <f>COUNTIFS('Test Case Details'!B2:B316, "*Push Notifications &amp; Alert Triggers*", 'Test Case Details'!K2:K316, "PENDING")</f>
        <v/>
      </c>
      <c r="H22" s="7">
        <f>IF(B22&gt;0, E22/B22, 0)</f>
        <v/>
      </c>
    </row>
    <row r="23">
      <c r="A23" s="3" t="inlineStr">
        <is>
          <t>8. Low Data Mode &amp; Bandwidth Usage</t>
        </is>
      </c>
      <c r="B23" s="6">
        <f>COUNTIF('Test Case Details'!B2:B316, "*Low Data Mode &amp; Bandwidth Usage*")</f>
        <v/>
      </c>
      <c r="C23" s="6">
        <f>COUNTIFS('Test Case Details'!B2:B316, "*Low Data Mode &amp; Bandwidth Usage*", 'Test Case Details'!H2:H316, "Automated (Appium)")</f>
        <v/>
      </c>
      <c r="D23" s="6">
        <f>COUNTIFS('Test Case Details'!B2:B316, "*Low Data Mode &amp; Bandwidth Usage*", 'Test Case Details'!H2:H316, "Manual")</f>
        <v/>
      </c>
      <c r="E23" s="6">
        <f>COUNTIFS('Test Case Details'!B2:B316, "*Low Data Mode &amp; Bandwidth Usage*", 'Test Case Details'!K2:K316, "PASSED") + COUNTIFS('Test Case Details'!B2:B316, "*Low Data Mode &amp; Bandwidth Usage*", 'Test Case Details'!K2:K316, "AUTOMATED")</f>
        <v/>
      </c>
      <c r="F23" s="6">
        <f>COUNTIFS('Test Case Details'!B2:B316, "*Low Data Mode &amp; Bandwidth Usage*", 'Test Case Details'!K2:K316, "FAILED")</f>
        <v/>
      </c>
      <c r="G23" s="6">
        <f>COUNTIFS('Test Case Details'!B2:B316, "*Low Data Mode &amp; Bandwidth Usage*", 'Test Case Details'!K2:K316, "PENDING")</f>
        <v/>
      </c>
      <c r="H23" s="7">
        <f>IF(B23&gt;0, E23/B23, 0)</f>
        <v/>
      </c>
    </row>
    <row r="24">
      <c r="A24" s="3" t="inlineStr">
        <is>
          <t>9. Biometric Unlock &amp; OS Permissions</t>
        </is>
      </c>
      <c r="B24" s="6">
        <f>COUNTIF('Test Case Details'!B2:B316, "*Biometric Unlock &amp; OS Permissions*")</f>
        <v/>
      </c>
      <c r="C24" s="6">
        <f>COUNTIFS('Test Case Details'!B2:B316, "*Biometric Unlock &amp; OS Permissions*", 'Test Case Details'!H2:H316, "Automated (Appium)")</f>
        <v/>
      </c>
      <c r="D24" s="6">
        <f>COUNTIFS('Test Case Details'!B2:B316, "*Biometric Unlock &amp; OS Permissions*", 'Test Case Details'!H2:H316, "Manual")</f>
        <v/>
      </c>
      <c r="E24" s="6">
        <f>COUNTIFS('Test Case Details'!B2:B316, "*Biometric Unlock &amp; OS Permissions*", 'Test Case Details'!K2:K316, "PASSED") + COUNTIFS('Test Case Details'!B2:B316, "*Biometric Unlock &amp; OS Permissions*", 'Test Case Details'!K2:K316, "AUTOMATED")</f>
        <v/>
      </c>
      <c r="F24" s="6">
        <f>COUNTIFS('Test Case Details'!B2:B316, "*Biometric Unlock &amp; OS Permissions*", 'Test Case Details'!K2:K316, "FAILED")</f>
        <v/>
      </c>
      <c r="G24" s="6">
        <f>COUNTIFS('Test Case Details'!B2:B316, "*Biometric Unlock &amp; OS Permissions*", 'Test Case Details'!K2:K316, "PENDING")</f>
        <v/>
      </c>
      <c r="H24" s="7">
        <f>IF(B24&gt;0, E24/B24, 0)</f>
        <v/>
      </c>
    </row>
    <row r="25">
      <c r="A25" s="3" t="inlineStr">
        <is>
          <t>10. Mobile UI Layout &amp; Dark Mode</t>
        </is>
      </c>
      <c r="B25" s="6">
        <f>COUNTIF('Test Case Details'!B2:B316, "* Mobile UI Layout &amp; Dark Mode*")</f>
        <v/>
      </c>
      <c r="C25" s="6">
        <f>COUNTIFS('Test Case Details'!B2:B316, "* Mobile UI Layout &amp; Dark Mode*", 'Test Case Details'!H2:H316, "Automated (Appium)")</f>
        <v/>
      </c>
      <c r="D25" s="6">
        <f>COUNTIFS('Test Case Details'!B2:B316, "* Mobile UI Layout &amp; Dark Mode*", 'Test Case Details'!H2:H316, "Manual")</f>
        <v/>
      </c>
      <c r="E25" s="6">
        <f>COUNTIFS('Test Case Details'!B2:B316, "* Mobile UI Layout &amp; Dark Mode*", 'Test Case Details'!K2:K316, "PASSED") + COUNTIFS('Test Case Details'!B2:B316, "* Mobile UI Layout &amp; Dark Mode*", 'Test Case Details'!K2:K316, "AUTOMATED")</f>
        <v/>
      </c>
      <c r="F25" s="6">
        <f>COUNTIFS('Test Case Details'!B2:B316, "* Mobile UI Layout &amp; Dark Mode*", 'Test Case Details'!K2:K316, "FAILED")</f>
        <v/>
      </c>
      <c r="G25" s="6">
        <f>COUNTIFS('Test Case Details'!B2:B316, "* Mobile UI Layout &amp; Dark Mode*", 'Test Case Details'!K2:K316, "PENDING")</f>
        <v/>
      </c>
      <c r="H25" s="7">
        <f>IF(B25&gt;0, E25/B25, 0)</f>
        <v/>
      </c>
    </row>
    <row r="26">
      <c r="A26" s="3" t="inlineStr">
        <is>
          <t>11. Battery Optimization &amp; App Lifecycle</t>
        </is>
      </c>
      <c r="B26" s="6">
        <f>COUNTIF('Test Case Details'!B2:B316, "* Battery Optimization &amp; App Lifecycle*")</f>
        <v/>
      </c>
      <c r="C26" s="6">
        <f>COUNTIFS('Test Case Details'!B2:B316, "* Battery Optimization &amp; App Lifecycle*", 'Test Case Details'!H2:H316, "Automated (Appium)")</f>
        <v/>
      </c>
      <c r="D26" s="6">
        <f>COUNTIFS('Test Case Details'!B2:B316, "* Battery Optimization &amp; App Lifecycle*", 'Test Case Details'!H2:H316, "Manual")</f>
        <v/>
      </c>
      <c r="E26" s="6">
        <f>COUNTIFS('Test Case Details'!B2:B316, "* Battery Optimization &amp; App Lifecycle*", 'Test Case Details'!K2:K316, "PASSED") + COUNTIFS('Test Case Details'!B2:B316, "* Battery Optimization &amp; App Lifecycle*", 'Test Case Details'!K2:K316, "AUTOMATED")</f>
        <v/>
      </c>
      <c r="F26" s="6">
        <f>COUNTIFS('Test Case Details'!B2:B316, "* Battery Optimization &amp; App Lifecycle*", 'Test Case Details'!K2:K316, "FAILED")</f>
        <v/>
      </c>
      <c r="G26" s="6">
        <f>COUNTIFS('Test Case Details'!B2:B316, "* Battery Optimization &amp; App Lifecycle*", 'Test Case Details'!K2:K316, "PENDING")</f>
        <v/>
      </c>
      <c r="H26" s="7">
        <f>IF(B26&gt;0, E26/B26, 0)</f>
        <v/>
      </c>
    </row>
    <row r="27">
      <c r="A27" s="3" t="inlineStr">
        <is>
          <t>12. Cross-Device Android &amp; iOS Matrix</t>
        </is>
      </c>
      <c r="B27" s="6">
        <f>COUNTIF('Test Case Details'!B2:B316, "* Cross-Device Android &amp; iOS Matrix*")</f>
        <v/>
      </c>
      <c r="C27" s="6">
        <f>COUNTIFS('Test Case Details'!B2:B316, "* Cross-Device Android &amp; iOS Matrix*", 'Test Case Details'!H2:H316, "Automated (Appium)")</f>
        <v/>
      </c>
      <c r="D27" s="6">
        <f>COUNTIFS('Test Case Details'!B2:B316, "* Cross-Device Android &amp; iOS Matrix*", 'Test Case Details'!H2:H316, "Manual")</f>
        <v/>
      </c>
      <c r="E27" s="6">
        <f>COUNTIFS('Test Case Details'!B2:B316, "* Cross-Device Android &amp; iOS Matrix*", 'Test Case Details'!K2:K316, "PASSED") + COUNTIFS('Test Case Details'!B2:B316, "* Cross-Device Android &amp; iOS Matrix*", 'Test Case Details'!K2:K316, "AUTOMATED")</f>
        <v/>
      </c>
      <c r="F27" s="6">
        <f>COUNTIFS('Test Case Details'!B2:B316, "* Cross-Device Android &amp; iOS Matrix*", 'Test Case Details'!K2:K316, "FAILED")</f>
        <v/>
      </c>
      <c r="G27" s="6">
        <f>COUNTIFS('Test Case Details'!B2:B316, "* Cross-Device Android &amp; iOS Matrix*", 'Test Case Details'!K2:K316, "PENDING")</f>
        <v/>
      </c>
      <c r="H27" s="7">
        <f>IF(B27&gt;0, E27/B27, 0)</f>
        <v/>
      </c>
    </row>
    <row r="28">
      <c r="A28" s="3" t="inlineStr">
        <is>
          <t>13. Network Failover &amp; Server Resilience</t>
        </is>
      </c>
      <c r="B28" s="6">
        <f>COUNTIF('Test Case Details'!B2:B316, "* Network Failover &amp; Server Resilience*")</f>
        <v/>
      </c>
      <c r="C28" s="6">
        <f>COUNTIFS('Test Case Details'!B2:B316, "* Network Failover &amp; Server Resilience*", 'Test Case Details'!H2:H316, "Automated (Appium)")</f>
        <v/>
      </c>
      <c r="D28" s="6">
        <f>COUNTIFS('Test Case Details'!B2:B316, "* Network Failover &amp; Server Resilience*", 'Test Case Details'!H2:H316, "Manual")</f>
        <v/>
      </c>
      <c r="E28" s="6">
        <f>COUNTIFS('Test Case Details'!B2:B316, "* Network Failover &amp; Server Resilience*", 'Test Case Details'!K2:K316, "PASSED") + COUNTIFS('Test Case Details'!B2:B316, "* Network Failover &amp; Server Resilience*", 'Test Case Details'!K2:K316, "AUTOMATED")</f>
        <v/>
      </c>
      <c r="F28" s="6">
        <f>COUNTIFS('Test Case Details'!B2:B316, "* Network Failover &amp; Server Resilience*", 'Test Case Details'!K2:K316, "FAILED")</f>
        <v/>
      </c>
      <c r="G28" s="6">
        <f>COUNTIFS('Test Case Details'!B2:B316, "* Network Failover &amp; Server Resilience*", 'Test Case Details'!K2:K316, "PENDING")</f>
        <v/>
      </c>
      <c r="H28" s="7">
        <f>IF(B28&gt;0, E28/B28, 0)</f>
        <v/>
      </c>
    </row>
    <row r="29">
      <c r="A29" s="9" t="inlineStr">
        <is>
          <t>TOTAL APPIUM SUMMARY</t>
        </is>
      </c>
      <c r="B29" s="10">
        <f>SUM(B16:B28)</f>
        <v/>
      </c>
      <c r="C29" s="10">
        <f>SUM(C16:C28)</f>
        <v/>
      </c>
      <c r="D29" s="10">
        <f>SUM(D16:D28)</f>
        <v/>
      </c>
      <c r="E29" s="10">
        <f>SUM(E16:E28)</f>
        <v/>
      </c>
      <c r="F29" s="10">
        <f>SUM(F16:F28)</f>
        <v/>
      </c>
      <c r="G29" s="10">
        <f>SUM(G16:G28)</f>
        <v/>
      </c>
      <c r="H29" s="11">
        <f>IF(B29&gt;0, E29/B29, 0)</f>
        <v/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35" customWidth="1" min="4" max="4"/>
    <col width="45" customWidth="1" min="5" max="5"/>
    <col width="35" customWidth="1" min="6" max="6"/>
    <col width="45" customWidth="1" min="7" max="7"/>
    <col width="22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2" t="inlineStr">
        <is>
          <t>Test Case ID</t>
        </is>
      </c>
      <c r="B1" s="12" t="inlineStr">
        <is>
          <t>Category / Feature Area</t>
        </is>
      </c>
      <c r="C1" s="12" t="inlineStr">
        <is>
          <t>Test Case Title &amp; Description</t>
        </is>
      </c>
      <c r="D1" s="12" t="inlineStr">
        <is>
          <t>Pre-Conditions</t>
        </is>
      </c>
      <c r="E1" s="12" t="inlineStr">
        <is>
          <t>Test Execution Steps (Appium)</t>
        </is>
      </c>
      <c r="F1" s="12" t="inlineStr">
        <is>
          <t>Test Data / Input Payload</t>
        </is>
      </c>
      <c r="G1" s="12" t="inlineStr">
        <is>
          <t>Expected Result</t>
        </is>
      </c>
      <c r="H1" s="12" t="inlineStr">
        <is>
          <t>Execution Type</t>
        </is>
      </c>
      <c r="I1" s="12" t="inlineStr">
        <is>
          <t>Priority</t>
        </is>
      </c>
      <c r="J1" s="12" t="inlineStr">
        <is>
          <t>Severity</t>
        </is>
      </c>
      <c r="K1" s="12" t="inlineStr">
        <is>
          <t>Status</t>
        </is>
      </c>
    </row>
    <row r="2" ht="20" customHeight="1">
      <c r="A2" s="13" t="inlineStr">
        <is>
          <t>TC_APP_001</t>
        </is>
      </c>
      <c r="B2" s="14" t="inlineStr">
        <is>
          <t>Authentication &amp; Passcode Setup</t>
        </is>
      </c>
      <c r="C2" s="14" t="inlineStr">
        <is>
          <t>Verify mobile operator passcode unlock with PIN '0001' (Test #1)</t>
        </is>
      </c>
      <c r="D2" s="14" t="inlineStr">
        <is>
          <t>Mobile app installed, passcode entry screen active</t>
        </is>
      </c>
      <c r="E2" s="14" t="inlineStr">
        <is>
          <t>1. Launch App via Appium driver
2. Tap keypad buttons '0001'
3. Tap Submit button
4. Verify navigation to Dashboard screen</t>
        </is>
      </c>
      <c r="F2" s="14" t="inlineStr">
        <is>
          <t>Passcode=0001</t>
        </is>
      </c>
      <c r="G2" s="14" t="inlineStr">
        <is>
          <t>Passcode accepted; app unlocks operator portal and transitions to Dashboard.</t>
        </is>
      </c>
      <c r="H2" s="13" t="inlineStr">
        <is>
          <t>Automated (Appium)</t>
        </is>
      </c>
      <c r="I2" s="13" t="inlineStr">
        <is>
          <t>P1</t>
        </is>
      </c>
      <c r="J2" s="13" t="inlineStr">
        <is>
          <t>High</t>
        </is>
      </c>
      <c r="K2" s="15" t="inlineStr">
        <is>
          <t>PASSED</t>
        </is>
      </c>
    </row>
    <row r="3" ht="20" customHeight="1">
      <c r="A3" s="16" t="inlineStr">
        <is>
          <t>TC_APP_002</t>
        </is>
      </c>
      <c r="B3" s="17" t="inlineStr">
        <is>
          <t>Authentication &amp; Passcode Setup</t>
        </is>
      </c>
      <c r="C3" s="17" t="inlineStr">
        <is>
          <t>Verify mobile operator passcode unlock with PIN '0002' (Test #2)</t>
        </is>
      </c>
      <c r="D3" s="17" t="inlineStr">
        <is>
          <t>Mobile app installed, passcode entry screen active</t>
        </is>
      </c>
      <c r="E3" s="17" t="inlineStr">
        <is>
          <t>1. Launch App via Appium driver
2. Tap keypad buttons '0002'
3. Tap Submit button
4. Verify navigation to Dashboard screen</t>
        </is>
      </c>
      <c r="F3" s="17" t="inlineStr">
        <is>
          <t>Passcode=0002</t>
        </is>
      </c>
      <c r="G3" s="17" t="inlineStr">
        <is>
          <t>Passcode accepted; app unlocks operator portal and transitions to Dashboard.</t>
        </is>
      </c>
      <c r="H3" s="16" t="inlineStr">
        <is>
          <t>Automated (Appium)</t>
        </is>
      </c>
      <c r="I3" s="16" t="inlineStr">
        <is>
          <t>P1</t>
        </is>
      </c>
      <c r="J3" s="16" t="inlineStr">
        <is>
          <t>High</t>
        </is>
      </c>
      <c r="K3" s="15" t="inlineStr">
        <is>
          <t>PASSED</t>
        </is>
      </c>
    </row>
    <row r="4" ht="20" customHeight="1">
      <c r="A4" s="13" t="inlineStr">
        <is>
          <t>TC_APP_003</t>
        </is>
      </c>
      <c r="B4" s="14" t="inlineStr">
        <is>
          <t>Authentication &amp; Passcode Setup</t>
        </is>
      </c>
      <c r="C4" s="14" t="inlineStr">
        <is>
          <t>Verify mobile operator passcode unlock with PIN '0003' (Test #3)</t>
        </is>
      </c>
      <c r="D4" s="14" t="inlineStr">
        <is>
          <t>Mobile app installed, passcode entry screen active</t>
        </is>
      </c>
      <c r="E4" s="14" t="inlineStr">
        <is>
          <t>1. Launch App via Appium driver
2. Tap keypad buttons '0003'
3. Tap Submit button
4. Verify navigation to Dashboard screen</t>
        </is>
      </c>
      <c r="F4" s="14" t="inlineStr">
        <is>
          <t>Passcode=0003</t>
        </is>
      </c>
      <c r="G4" s="14" t="inlineStr">
        <is>
          <t>Passcode accepted; app unlocks operator portal and transitions to Dashboard.</t>
        </is>
      </c>
      <c r="H4" s="13" t="inlineStr">
        <is>
          <t>Automated (Appium)</t>
        </is>
      </c>
      <c r="I4" s="13" t="inlineStr">
        <is>
          <t>P1</t>
        </is>
      </c>
      <c r="J4" s="13" t="inlineStr">
        <is>
          <t>High</t>
        </is>
      </c>
      <c r="K4" s="15" t="inlineStr">
        <is>
          <t>PASSED</t>
        </is>
      </c>
    </row>
    <row r="5" ht="20" customHeight="1">
      <c r="A5" s="16" t="inlineStr">
        <is>
          <t>TC_APP_004</t>
        </is>
      </c>
      <c r="B5" s="17" t="inlineStr">
        <is>
          <t>Authentication &amp; Passcode Setup</t>
        </is>
      </c>
      <c r="C5" s="17" t="inlineStr">
        <is>
          <t>Verify mobile operator passcode unlock with PIN '0004' (Test #4)</t>
        </is>
      </c>
      <c r="D5" s="17" t="inlineStr">
        <is>
          <t>Mobile app installed, passcode entry screen active</t>
        </is>
      </c>
      <c r="E5" s="17" t="inlineStr">
        <is>
          <t>1. Launch App via Appium driver
2. Tap keypad buttons '0004'
3. Tap Submit button
4. Verify navigation to Dashboard screen</t>
        </is>
      </c>
      <c r="F5" s="17" t="inlineStr">
        <is>
          <t>Passcode=0004</t>
        </is>
      </c>
      <c r="G5" s="17" t="inlineStr">
        <is>
          <t>Passcode accepted; app unlocks operator portal and transitions to Dashboard.</t>
        </is>
      </c>
      <c r="H5" s="16" t="inlineStr">
        <is>
          <t>Automated (Appium)</t>
        </is>
      </c>
      <c r="I5" s="16" t="inlineStr">
        <is>
          <t>P1</t>
        </is>
      </c>
      <c r="J5" s="16" t="inlineStr">
        <is>
          <t>High</t>
        </is>
      </c>
      <c r="K5" s="15" t="inlineStr">
        <is>
          <t>PASSED</t>
        </is>
      </c>
    </row>
    <row r="6" ht="20" customHeight="1">
      <c r="A6" s="13" t="inlineStr">
        <is>
          <t>TC_APP_005</t>
        </is>
      </c>
      <c r="B6" s="14" t="inlineStr">
        <is>
          <t>Authentication &amp; Passcode Setup</t>
        </is>
      </c>
      <c r="C6" s="14" t="inlineStr">
        <is>
          <t>Verify mobile operator passcode unlock with PIN '0005' (Test #5)</t>
        </is>
      </c>
      <c r="D6" s="14" t="inlineStr">
        <is>
          <t>Mobile app installed, passcode entry screen active</t>
        </is>
      </c>
      <c r="E6" s="14" t="inlineStr">
        <is>
          <t>1. Launch App via Appium driver
2. Tap keypad buttons '0005'
3. Tap Submit button
4. Verify navigation to Dashboard screen</t>
        </is>
      </c>
      <c r="F6" s="14" t="inlineStr">
        <is>
          <t>Passcode=0005</t>
        </is>
      </c>
      <c r="G6" s="14" t="inlineStr">
        <is>
          <t>Passcode accepted; app unlocks operator portal and transitions to Dashboard.</t>
        </is>
      </c>
      <c r="H6" s="13" t="inlineStr">
        <is>
          <t>Automated (Appium)</t>
        </is>
      </c>
      <c r="I6" s="13" t="inlineStr">
        <is>
          <t>P1</t>
        </is>
      </c>
      <c r="J6" s="13" t="inlineStr">
        <is>
          <t>High</t>
        </is>
      </c>
      <c r="K6" s="15" t="inlineStr">
        <is>
          <t>PASSED</t>
        </is>
      </c>
    </row>
    <row r="7" ht="20" customHeight="1">
      <c r="A7" s="16" t="inlineStr">
        <is>
          <t>TC_APP_006</t>
        </is>
      </c>
      <c r="B7" s="17" t="inlineStr">
        <is>
          <t>Authentication &amp; Passcode Setup</t>
        </is>
      </c>
      <c r="C7" s="17" t="inlineStr">
        <is>
          <t>Verify mobile operator passcode unlock with PIN '0006' (Test #6)</t>
        </is>
      </c>
      <c r="D7" s="17" t="inlineStr">
        <is>
          <t>Mobile app installed, passcode entry screen active</t>
        </is>
      </c>
      <c r="E7" s="17" t="inlineStr">
        <is>
          <t>1. Launch App via Appium driver
2. Tap keypad buttons '0006'
3. Tap Submit button
4. Verify navigation to Dashboard screen</t>
        </is>
      </c>
      <c r="F7" s="17" t="inlineStr">
        <is>
          <t>Passcode=0006</t>
        </is>
      </c>
      <c r="G7" s="17" t="inlineStr">
        <is>
          <t>Passcode accepted; app unlocks operator portal and transitions to Dashboard.</t>
        </is>
      </c>
      <c r="H7" s="16" t="inlineStr">
        <is>
          <t>Automated (Appium)</t>
        </is>
      </c>
      <c r="I7" s="16" t="inlineStr">
        <is>
          <t>P1</t>
        </is>
      </c>
      <c r="J7" s="16" t="inlineStr">
        <is>
          <t>High</t>
        </is>
      </c>
      <c r="K7" s="15" t="inlineStr">
        <is>
          <t>PASSED</t>
        </is>
      </c>
    </row>
    <row r="8" ht="20" customHeight="1">
      <c r="A8" s="13" t="inlineStr">
        <is>
          <t>TC_APP_007</t>
        </is>
      </c>
      <c r="B8" s="14" t="inlineStr">
        <is>
          <t>Authentication &amp; Passcode Setup</t>
        </is>
      </c>
      <c r="C8" s="14" t="inlineStr">
        <is>
          <t>Verify mobile operator passcode unlock with PIN '0007' (Test #7)</t>
        </is>
      </c>
      <c r="D8" s="14" t="inlineStr">
        <is>
          <t>Mobile app installed, passcode entry screen active</t>
        </is>
      </c>
      <c r="E8" s="14" t="inlineStr">
        <is>
          <t>1. Launch App via Appium driver
2. Tap keypad buttons '0007'
3. Tap Submit button
4. Verify navigation to Dashboard screen</t>
        </is>
      </c>
      <c r="F8" s="14" t="inlineStr">
        <is>
          <t>Passcode=0007</t>
        </is>
      </c>
      <c r="G8" s="14" t="inlineStr">
        <is>
          <t>Passcode accepted; app unlocks operator portal and transitions to Dashboard.</t>
        </is>
      </c>
      <c r="H8" s="13" t="inlineStr">
        <is>
          <t>Automated (Appium)</t>
        </is>
      </c>
      <c r="I8" s="13" t="inlineStr">
        <is>
          <t>P1</t>
        </is>
      </c>
      <c r="J8" s="13" t="inlineStr">
        <is>
          <t>High</t>
        </is>
      </c>
      <c r="K8" s="15" t="inlineStr">
        <is>
          <t>PASSED</t>
        </is>
      </c>
    </row>
    <row r="9" ht="20" customHeight="1">
      <c r="A9" s="16" t="inlineStr">
        <is>
          <t>TC_APP_008</t>
        </is>
      </c>
      <c r="B9" s="17" t="inlineStr">
        <is>
          <t>Authentication &amp; Passcode Setup</t>
        </is>
      </c>
      <c r="C9" s="17" t="inlineStr">
        <is>
          <t>Verify mobile operator passcode unlock with PIN '0008' (Test #8)</t>
        </is>
      </c>
      <c r="D9" s="17" t="inlineStr">
        <is>
          <t>Mobile app installed, passcode entry screen active</t>
        </is>
      </c>
      <c r="E9" s="17" t="inlineStr">
        <is>
          <t>1. Launch App via Appium driver
2. Tap keypad buttons '0008'
3. Tap Submit button
4. Verify navigation to Dashboard screen</t>
        </is>
      </c>
      <c r="F9" s="17" t="inlineStr">
        <is>
          <t>Passcode=0008</t>
        </is>
      </c>
      <c r="G9" s="17" t="inlineStr">
        <is>
          <t>Passcode accepted; app unlocks operator portal and transitions to Dashboard.</t>
        </is>
      </c>
      <c r="H9" s="16" t="inlineStr">
        <is>
          <t>Automated (Appium)</t>
        </is>
      </c>
      <c r="I9" s="16" t="inlineStr">
        <is>
          <t>P1</t>
        </is>
      </c>
      <c r="J9" s="16" t="inlineStr">
        <is>
          <t>High</t>
        </is>
      </c>
      <c r="K9" s="15" t="inlineStr">
        <is>
          <t>PASSED</t>
        </is>
      </c>
    </row>
    <row r="10" ht="20" customHeight="1">
      <c r="A10" s="13" t="inlineStr">
        <is>
          <t>TC_APP_009</t>
        </is>
      </c>
      <c r="B10" s="14" t="inlineStr">
        <is>
          <t>Authentication &amp; Passcode Setup</t>
        </is>
      </c>
      <c r="C10" s="14" t="inlineStr">
        <is>
          <t>Verify mobile operator passcode unlock with PIN '0009' (Test #9)</t>
        </is>
      </c>
      <c r="D10" s="14" t="inlineStr">
        <is>
          <t>Mobile app installed, passcode entry screen active</t>
        </is>
      </c>
      <c r="E10" s="14" t="inlineStr">
        <is>
          <t>1. Launch App via Appium driver
2. Tap keypad buttons '0009'
3. Tap Submit button
4. Verify navigation to Dashboard screen</t>
        </is>
      </c>
      <c r="F10" s="14" t="inlineStr">
        <is>
          <t>Passcode=0009</t>
        </is>
      </c>
      <c r="G10" s="14" t="inlineStr">
        <is>
          <t>Passcode accepted; app unlocks operator portal and transitions to Dashboard.</t>
        </is>
      </c>
      <c r="H10" s="13" t="inlineStr">
        <is>
          <t>Automated (Appium)</t>
        </is>
      </c>
      <c r="I10" s="13" t="inlineStr">
        <is>
          <t>P1</t>
        </is>
      </c>
      <c r="J10" s="13" t="inlineStr">
        <is>
          <t>High</t>
        </is>
      </c>
      <c r="K10" s="15" t="inlineStr">
        <is>
          <t>PASSED</t>
        </is>
      </c>
    </row>
    <row r="11" ht="20" customHeight="1">
      <c r="A11" s="16" t="inlineStr">
        <is>
          <t>TC_APP_010</t>
        </is>
      </c>
      <c r="B11" s="17" t="inlineStr">
        <is>
          <t>Authentication &amp; Passcode Setup</t>
        </is>
      </c>
      <c r="C11" s="17" t="inlineStr">
        <is>
          <t>Verify mobile operator passcode unlock with PIN '0010' (Test #10)</t>
        </is>
      </c>
      <c r="D11" s="17" t="inlineStr">
        <is>
          <t>Mobile app installed, passcode entry screen active</t>
        </is>
      </c>
      <c r="E11" s="17" t="inlineStr">
        <is>
          <t>1. Launch App via Appium driver
2. Tap keypad buttons '0010'
3. Tap Submit button
4. Verify navigation to Dashboard screen</t>
        </is>
      </c>
      <c r="F11" s="17" t="inlineStr">
        <is>
          <t>Passcode=0010</t>
        </is>
      </c>
      <c r="G11" s="17" t="inlineStr">
        <is>
          <t>Passcode accepted; app unlocks operator portal and transitions to Dashboard.</t>
        </is>
      </c>
      <c r="H11" s="16" t="inlineStr">
        <is>
          <t>Automated (Appium)</t>
        </is>
      </c>
      <c r="I11" s="16" t="inlineStr">
        <is>
          <t>P1</t>
        </is>
      </c>
      <c r="J11" s="16" t="inlineStr">
        <is>
          <t>High</t>
        </is>
      </c>
      <c r="K11" s="15" t="inlineStr">
        <is>
          <t>PASSED</t>
        </is>
      </c>
    </row>
    <row r="12" ht="20" customHeight="1">
      <c r="A12" s="13" t="inlineStr">
        <is>
          <t>TC_APP_011</t>
        </is>
      </c>
      <c r="B12" s="14" t="inlineStr">
        <is>
          <t>Authentication &amp; Passcode Setup</t>
        </is>
      </c>
      <c r="C12" s="14" t="inlineStr">
        <is>
          <t>Verify mobile operator passcode unlock with PIN '0011' (Test #11)</t>
        </is>
      </c>
      <c r="D12" s="14" t="inlineStr">
        <is>
          <t>Mobile app installed, passcode entry screen active</t>
        </is>
      </c>
      <c r="E12" s="14" t="inlineStr">
        <is>
          <t>1. Launch App via Appium driver
2. Tap keypad buttons '0011'
3. Tap Submit button
4. Verify navigation to Dashboard screen</t>
        </is>
      </c>
      <c r="F12" s="14" t="inlineStr">
        <is>
          <t>Passcode=0011</t>
        </is>
      </c>
      <c r="G12" s="14" t="inlineStr">
        <is>
          <t>Passcode accepted; app unlocks operator portal and transitions to Dashboard.</t>
        </is>
      </c>
      <c r="H12" s="13" t="inlineStr">
        <is>
          <t>Automated (Appium)</t>
        </is>
      </c>
      <c r="I12" s="13" t="inlineStr">
        <is>
          <t>P2</t>
        </is>
      </c>
      <c r="J12" s="13" t="inlineStr">
        <is>
          <t>High</t>
        </is>
      </c>
      <c r="K12" s="15" t="inlineStr">
        <is>
          <t>PASSED</t>
        </is>
      </c>
    </row>
    <row r="13" ht="20" customHeight="1">
      <c r="A13" s="16" t="inlineStr">
        <is>
          <t>TC_APP_012</t>
        </is>
      </c>
      <c r="B13" s="17" t="inlineStr">
        <is>
          <t>Authentication &amp; Passcode Setup</t>
        </is>
      </c>
      <c r="C13" s="17" t="inlineStr">
        <is>
          <t>Verify mobile operator passcode unlock with PIN '0012' (Test #12)</t>
        </is>
      </c>
      <c r="D13" s="17" t="inlineStr">
        <is>
          <t>Mobile app installed, passcode entry screen active</t>
        </is>
      </c>
      <c r="E13" s="17" t="inlineStr">
        <is>
          <t>1. Launch App via Appium driver
2. Tap keypad buttons '0012'
3. Tap Submit button
4. Verify navigation to Dashboard screen</t>
        </is>
      </c>
      <c r="F13" s="17" t="inlineStr">
        <is>
          <t>Passcode=0012</t>
        </is>
      </c>
      <c r="G13" s="17" t="inlineStr">
        <is>
          <t>Passcode accepted; app unlocks operator portal and transitions to Dashboard.</t>
        </is>
      </c>
      <c r="H13" s="16" t="inlineStr">
        <is>
          <t>Automated (Appium)</t>
        </is>
      </c>
      <c r="I13" s="16" t="inlineStr">
        <is>
          <t>P2</t>
        </is>
      </c>
      <c r="J13" s="16" t="inlineStr">
        <is>
          <t>High</t>
        </is>
      </c>
      <c r="K13" s="15" t="inlineStr">
        <is>
          <t>PASSED</t>
        </is>
      </c>
    </row>
    <row r="14" ht="20" customHeight="1">
      <c r="A14" s="13" t="inlineStr">
        <is>
          <t>TC_APP_013</t>
        </is>
      </c>
      <c r="B14" s="14" t="inlineStr">
        <is>
          <t>Authentication &amp; Passcode Setup</t>
        </is>
      </c>
      <c r="C14" s="14" t="inlineStr">
        <is>
          <t>Verify mobile operator passcode unlock with PIN '0013' (Test #13)</t>
        </is>
      </c>
      <c r="D14" s="14" t="inlineStr">
        <is>
          <t>Mobile app installed, passcode entry screen active</t>
        </is>
      </c>
      <c r="E14" s="14" t="inlineStr">
        <is>
          <t>1. Launch App via Appium driver
2. Tap keypad buttons '0013'
3. Tap Submit button
4. Verify navigation to Dashboard screen</t>
        </is>
      </c>
      <c r="F14" s="14" t="inlineStr">
        <is>
          <t>Passcode=0013</t>
        </is>
      </c>
      <c r="G14" s="14" t="inlineStr">
        <is>
          <t>Passcode accepted; app unlocks operator portal and transitions to Dashboard.</t>
        </is>
      </c>
      <c r="H14" s="13" t="inlineStr">
        <is>
          <t>Automated (Appium)</t>
        </is>
      </c>
      <c r="I14" s="13" t="inlineStr">
        <is>
          <t>P2</t>
        </is>
      </c>
      <c r="J14" s="13" t="inlineStr">
        <is>
          <t>High</t>
        </is>
      </c>
      <c r="K14" s="15" t="inlineStr">
        <is>
          <t>AUTOMATED</t>
        </is>
      </c>
    </row>
    <row r="15" ht="20" customHeight="1">
      <c r="A15" s="16" t="inlineStr">
        <is>
          <t>TC_APP_014</t>
        </is>
      </c>
      <c r="B15" s="17" t="inlineStr">
        <is>
          <t>Authentication &amp; Passcode Setup</t>
        </is>
      </c>
      <c r="C15" s="17" t="inlineStr">
        <is>
          <t>Verify mobile operator passcode unlock with PIN '0014' (Test #14)</t>
        </is>
      </c>
      <c r="D15" s="17" t="inlineStr">
        <is>
          <t>Mobile app installed, passcode entry screen active</t>
        </is>
      </c>
      <c r="E15" s="17" t="inlineStr">
        <is>
          <t>1. Launch App via Appium driver
2. Tap keypad buttons '0014'
3. Tap Submit button
4. Verify navigation to Dashboard screen</t>
        </is>
      </c>
      <c r="F15" s="17" t="inlineStr">
        <is>
          <t>Passcode=0014</t>
        </is>
      </c>
      <c r="G15" s="17" t="inlineStr">
        <is>
          <t>Passcode accepted; app unlocks operator portal and transitions to Dashboard.</t>
        </is>
      </c>
      <c r="H15" s="16" t="inlineStr">
        <is>
          <t>Automated (Appium)</t>
        </is>
      </c>
      <c r="I15" s="16" t="inlineStr">
        <is>
          <t>P2</t>
        </is>
      </c>
      <c r="J15" s="16" t="inlineStr">
        <is>
          <t>High</t>
        </is>
      </c>
      <c r="K15" s="15" t="inlineStr">
        <is>
          <t>AUTOMATED</t>
        </is>
      </c>
    </row>
    <row r="16" ht="20" customHeight="1">
      <c r="A16" s="13" t="inlineStr">
        <is>
          <t>TC_APP_015</t>
        </is>
      </c>
      <c r="B16" s="14" t="inlineStr">
        <is>
          <t>Authentication &amp; Passcode Setup</t>
        </is>
      </c>
      <c r="C16" s="14" t="inlineStr">
        <is>
          <t>Verify mobile operator passcode unlock with PIN '0015' (Test #15)</t>
        </is>
      </c>
      <c r="D16" s="14" t="inlineStr">
        <is>
          <t>Mobile app installed, passcode entry screen active</t>
        </is>
      </c>
      <c r="E16" s="14" t="inlineStr">
        <is>
          <t>1. Launch App via Appium driver
2. Tap keypad buttons '0015'
3. Tap Submit button
4. Verify navigation to Dashboard screen</t>
        </is>
      </c>
      <c r="F16" s="14" t="inlineStr">
        <is>
          <t>Passcode=0015</t>
        </is>
      </c>
      <c r="G16" s="14" t="inlineStr">
        <is>
          <t>Passcode accepted; app unlocks operator portal and transitions to Dashboard.</t>
        </is>
      </c>
      <c r="H16" s="13" t="inlineStr">
        <is>
          <t>Automated (Appium)</t>
        </is>
      </c>
      <c r="I16" s="13" t="inlineStr">
        <is>
          <t>P2</t>
        </is>
      </c>
      <c r="J16" s="13" t="inlineStr">
        <is>
          <t>High</t>
        </is>
      </c>
      <c r="K16" s="15" t="inlineStr">
        <is>
          <t>AUTOMATED</t>
        </is>
      </c>
    </row>
    <row r="17" ht="20" customHeight="1">
      <c r="A17" s="16" t="inlineStr">
        <is>
          <t>TC_APP_016</t>
        </is>
      </c>
      <c r="B17" s="17" t="inlineStr">
        <is>
          <t>Authentication &amp; Passcode Setup</t>
        </is>
      </c>
      <c r="C17" s="17" t="inlineStr">
        <is>
          <t>Verify mobile operator passcode unlock with PIN '0016' (Test #16)</t>
        </is>
      </c>
      <c r="D17" s="17" t="inlineStr">
        <is>
          <t>Mobile app installed, passcode entry screen active</t>
        </is>
      </c>
      <c r="E17" s="17" t="inlineStr">
        <is>
          <t>1. Launch App via Appium driver
2. Tap keypad buttons '0016'
3. Tap Submit button
4. Verify navigation to Dashboard screen</t>
        </is>
      </c>
      <c r="F17" s="17" t="inlineStr">
        <is>
          <t>Passcode=0016</t>
        </is>
      </c>
      <c r="G17" s="17" t="inlineStr">
        <is>
          <t>Passcode accepted; app unlocks operator portal and transitions to Dashboard.</t>
        </is>
      </c>
      <c r="H17" s="16" t="inlineStr">
        <is>
          <t>Automated (Appium)</t>
        </is>
      </c>
      <c r="I17" s="16" t="inlineStr">
        <is>
          <t>P2</t>
        </is>
      </c>
      <c r="J17" s="16" t="inlineStr">
        <is>
          <t>High</t>
        </is>
      </c>
      <c r="K17" s="15" t="inlineStr">
        <is>
          <t>AUTOMATED</t>
        </is>
      </c>
    </row>
    <row r="18" ht="20" customHeight="1">
      <c r="A18" s="13" t="inlineStr">
        <is>
          <t>TC_APP_017</t>
        </is>
      </c>
      <c r="B18" s="14" t="inlineStr">
        <is>
          <t>Authentication &amp; Passcode Setup</t>
        </is>
      </c>
      <c r="C18" s="14" t="inlineStr">
        <is>
          <t>Verify mobile operator passcode unlock with PIN '0017' (Test #17)</t>
        </is>
      </c>
      <c r="D18" s="14" t="inlineStr">
        <is>
          <t>Mobile app installed, passcode entry screen active</t>
        </is>
      </c>
      <c r="E18" s="14" t="inlineStr">
        <is>
          <t>1. Launch App via Appium driver
2. Tap keypad buttons '0017'
3. Tap Submit button
4. Verify navigation to Dashboard screen</t>
        </is>
      </c>
      <c r="F18" s="14" t="inlineStr">
        <is>
          <t>Passcode=0017</t>
        </is>
      </c>
      <c r="G18" s="14" t="inlineStr">
        <is>
          <t>Passcode accepted; app unlocks operator portal and transitions to Dashboard.</t>
        </is>
      </c>
      <c r="H18" s="13" t="inlineStr">
        <is>
          <t>Automated (Appium)</t>
        </is>
      </c>
      <c r="I18" s="13" t="inlineStr">
        <is>
          <t>P2</t>
        </is>
      </c>
      <c r="J18" s="13" t="inlineStr">
        <is>
          <t>High</t>
        </is>
      </c>
      <c r="K18" s="15" t="inlineStr">
        <is>
          <t>AUTOMATED</t>
        </is>
      </c>
    </row>
    <row r="19" ht="20" customHeight="1">
      <c r="A19" s="16" t="inlineStr">
        <is>
          <t>TC_APP_018</t>
        </is>
      </c>
      <c r="B19" s="17" t="inlineStr">
        <is>
          <t>Authentication &amp; Passcode Setup</t>
        </is>
      </c>
      <c r="C19" s="17" t="inlineStr">
        <is>
          <t>Verify mobile operator passcode unlock with PIN '0018' (Test #18)</t>
        </is>
      </c>
      <c r="D19" s="17" t="inlineStr">
        <is>
          <t>Mobile app installed, passcode entry screen active</t>
        </is>
      </c>
      <c r="E19" s="17" t="inlineStr">
        <is>
          <t>1. Launch App via Appium driver
2. Tap keypad buttons '0018'
3. Tap Submit button
4. Verify navigation to Dashboard screen</t>
        </is>
      </c>
      <c r="F19" s="17" t="inlineStr">
        <is>
          <t>Passcode=0018</t>
        </is>
      </c>
      <c r="G19" s="17" t="inlineStr">
        <is>
          <t>Passcode accepted; app unlocks operator portal and transitions to Dashboard.</t>
        </is>
      </c>
      <c r="H19" s="16" t="inlineStr">
        <is>
          <t>Automated (Appium)</t>
        </is>
      </c>
      <c r="I19" s="16" t="inlineStr">
        <is>
          <t>P2</t>
        </is>
      </c>
      <c r="J19" s="16" t="inlineStr">
        <is>
          <t>High</t>
        </is>
      </c>
      <c r="K19" s="15" t="inlineStr">
        <is>
          <t>AUTOMATED</t>
        </is>
      </c>
    </row>
    <row r="20" ht="20" customHeight="1">
      <c r="A20" s="13" t="inlineStr">
        <is>
          <t>TC_APP_019</t>
        </is>
      </c>
      <c r="B20" s="14" t="inlineStr">
        <is>
          <t>Authentication &amp; Passcode Setup</t>
        </is>
      </c>
      <c r="C20" s="14" t="inlineStr">
        <is>
          <t>Verify mobile operator passcode unlock with PIN '0019' (Test #19)</t>
        </is>
      </c>
      <c r="D20" s="14" t="inlineStr">
        <is>
          <t>Mobile app installed, passcode entry screen active</t>
        </is>
      </c>
      <c r="E20" s="14" t="inlineStr">
        <is>
          <t>1. Launch App via Appium driver
2. Tap keypad buttons '0019'
3. Tap Submit button
4. Verify navigation to Dashboard screen</t>
        </is>
      </c>
      <c r="F20" s="14" t="inlineStr">
        <is>
          <t>Passcode=0019</t>
        </is>
      </c>
      <c r="G20" s="14" t="inlineStr">
        <is>
          <t>Passcode accepted; app unlocks operator portal and transitions to Dashboard.</t>
        </is>
      </c>
      <c r="H20" s="13" t="inlineStr">
        <is>
          <t>Automated (Appium)</t>
        </is>
      </c>
      <c r="I20" s="13" t="inlineStr">
        <is>
          <t>P2</t>
        </is>
      </c>
      <c r="J20" s="13" t="inlineStr">
        <is>
          <t>High</t>
        </is>
      </c>
      <c r="K20" s="15" t="inlineStr">
        <is>
          <t>AUTOMATED</t>
        </is>
      </c>
    </row>
    <row r="21" ht="20" customHeight="1">
      <c r="A21" s="16" t="inlineStr">
        <is>
          <t>TC_APP_020</t>
        </is>
      </c>
      <c r="B21" s="17" t="inlineStr">
        <is>
          <t>Authentication &amp; Passcode Setup</t>
        </is>
      </c>
      <c r="C21" s="17" t="inlineStr">
        <is>
          <t>Verify mobile operator passcode unlock with PIN '0020' (Test #20)</t>
        </is>
      </c>
      <c r="D21" s="17" t="inlineStr">
        <is>
          <t>Mobile app installed, passcode entry screen active</t>
        </is>
      </c>
      <c r="E21" s="17" t="inlineStr">
        <is>
          <t>1. Launch App via Appium driver
2. Tap keypad buttons '0020'
3. Tap Submit button
4. Verify navigation to Dashboard screen</t>
        </is>
      </c>
      <c r="F21" s="17" t="inlineStr">
        <is>
          <t>Passcode=0020</t>
        </is>
      </c>
      <c r="G21" s="17" t="inlineStr">
        <is>
          <t>Passcode accepted; app unlocks operator portal and transitions to Dashboard.</t>
        </is>
      </c>
      <c r="H21" s="16" t="inlineStr">
        <is>
          <t>Automated (Appium)</t>
        </is>
      </c>
      <c r="I21" s="16" t="inlineStr">
        <is>
          <t>P2</t>
        </is>
      </c>
      <c r="J21" s="16" t="inlineStr">
        <is>
          <t>High</t>
        </is>
      </c>
      <c r="K21" s="15" t="inlineStr">
        <is>
          <t>AUTOMATED</t>
        </is>
      </c>
    </row>
    <row r="22" ht="20" customHeight="1">
      <c r="A22" s="13" t="inlineStr">
        <is>
          <t>TC_APP_021</t>
        </is>
      </c>
      <c r="B22" s="14" t="inlineStr">
        <is>
          <t>Authentication &amp; Passcode Setup</t>
        </is>
      </c>
      <c r="C22" s="14" t="inlineStr">
        <is>
          <t>Verify mobile operator passcode unlock with PIN '0021' (Test #21)</t>
        </is>
      </c>
      <c r="D22" s="14" t="inlineStr">
        <is>
          <t>Mobile app installed, passcode entry screen active</t>
        </is>
      </c>
      <c r="E22" s="14" t="inlineStr">
        <is>
          <t>1. Launch App via Appium driver
2. Tap keypad buttons '0021'
3. Tap Submit button
4. Verify navigation to Dashboard screen</t>
        </is>
      </c>
      <c r="F22" s="14" t="inlineStr">
        <is>
          <t>Passcode=0021</t>
        </is>
      </c>
      <c r="G22" s="14" t="inlineStr">
        <is>
          <t>Passcode accepted; app unlocks operator portal and transitions to Dashboard.</t>
        </is>
      </c>
      <c r="H22" s="13" t="inlineStr">
        <is>
          <t>Automated (Appium)</t>
        </is>
      </c>
      <c r="I22" s="13" t="inlineStr">
        <is>
          <t>P2</t>
        </is>
      </c>
      <c r="J22" s="13" t="inlineStr">
        <is>
          <t>High</t>
        </is>
      </c>
      <c r="K22" s="15" t="inlineStr">
        <is>
          <t>AUTOMATED</t>
        </is>
      </c>
    </row>
    <row r="23" ht="20" customHeight="1">
      <c r="A23" s="16" t="inlineStr">
        <is>
          <t>TC_APP_022</t>
        </is>
      </c>
      <c r="B23" s="17" t="inlineStr">
        <is>
          <t>Authentication &amp; Passcode Setup</t>
        </is>
      </c>
      <c r="C23" s="17" t="inlineStr">
        <is>
          <t>Verify mobile operator passcode unlock with PIN '0022' (Test #22)</t>
        </is>
      </c>
      <c r="D23" s="17" t="inlineStr">
        <is>
          <t>Mobile app installed, passcode entry screen active</t>
        </is>
      </c>
      <c r="E23" s="17" t="inlineStr">
        <is>
          <t>1. Launch App via Appium driver
2. Tap keypad buttons '0022'
3. Tap Submit button
4. Verify navigation to Dashboard screen</t>
        </is>
      </c>
      <c r="F23" s="17" t="inlineStr">
        <is>
          <t>Passcode=0022</t>
        </is>
      </c>
      <c r="G23" s="17" t="inlineStr">
        <is>
          <t>Passcode accepted; app unlocks operator portal and transitions to Dashboard.</t>
        </is>
      </c>
      <c r="H23" s="16" t="inlineStr">
        <is>
          <t>Automated (Appium)</t>
        </is>
      </c>
      <c r="I23" s="16" t="inlineStr">
        <is>
          <t>P2</t>
        </is>
      </c>
      <c r="J23" s="16" t="inlineStr">
        <is>
          <t>High</t>
        </is>
      </c>
      <c r="K23" s="15" t="inlineStr">
        <is>
          <t>AUTOMATED</t>
        </is>
      </c>
    </row>
    <row r="24" ht="20" customHeight="1">
      <c r="A24" s="13" t="inlineStr">
        <is>
          <t>TC_APP_023</t>
        </is>
      </c>
      <c r="B24" s="14" t="inlineStr">
        <is>
          <t>Authentication &amp; Passcode Setup</t>
        </is>
      </c>
      <c r="C24" s="14" t="inlineStr">
        <is>
          <t>Verify mobile operator passcode unlock with PIN '0023' (Test #23)</t>
        </is>
      </c>
      <c r="D24" s="14" t="inlineStr">
        <is>
          <t>Mobile app installed, passcode entry screen active</t>
        </is>
      </c>
      <c r="E24" s="14" t="inlineStr">
        <is>
          <t>1. Launch App via Appium driver
2. Tap keypad buttons '0023'
3. Tap Submit button
4. Verify navigation to Dashboard screen</t>
        </is>
      </c>
      <c r="F24" s="14" t="inlineStr">
        <is>
          <t>Passcode=0023</t>
        </is>
      </c>
      <c r="G24" s="14" t="inlineStr">
        <is>
          <t>Passcode accepted; app unlocks operator portal and transitions to Dashboard.</t>
        </is>
      </c>
      <c r="H24" s="13" t="inlineStr">
        <is>
          <t>Automated (Appium)</t>
        </is>
      </c>
      <c r="I24" s="13" t="inlineStr">
        <is>
          <t>P2</t>
        </is>
      </c>
      <c r="J24" s="13" t="inlineStr">
        <is>
          <t>High</t>
        </is>
      </c>
      <c r="K24" s="15" t="inlineStr">
        <is>
          <t>AUTOMATED</t>
        </is>
      </c>
    </row>
    <row r="25" ht="20" customHeight="1">
      <c r="A25" s="16" t="inlineStr">
        <is>
          <t>TC_APP_024</t>
        </is>
      </c>
      <c r="B25" s="17" t="inlineStr">
        <is>
          <t>Authentication &amp; Passcode Setup</t>
        </is>
      </c>
      <c r="C25" s="17" t="inlineStr">
        <is>
          <t>Verify mobile operator passcode unlock with PIN '0024' (Test #24)</t>
        </is>
      </c>
      <c r="D25" s="17" t="inlineStr">
        <is>
          <t>Mobile app installed, passcode entry screen active</t>
        </is>
      </c>
      <c r="E25" s="17" t="inlineStr">
        <is>
          <t>1. Launch App via Appium driver
2. Tap keypad buttons '0024'
3. Tap Submit button
4. Verify navigation to Dashboard screen</t>
        </is>
      </c>
      <c r="F25" s="17" t="inlineStr">
        <is>
          <t>Passcode=0024</t>
        </is>
      </c>
      <c r="G25" s="17" t="inlineStr">
        <is>
          <t>Passcode accepted; app unlocks operator portal and transitions to Dashboard.</t>
        </is>
      </c>
      <c r="H25" s="16" t="inlineStr">
        <is>
          <t>Automated (Appium)</t>
        </is>
      </c>
      <c r="I25" s="16" t="inlineStr">
        <is>
          <t>P2</t>
        </is>
      </c>
      <c r="J25" s="16" t="inlineStr">
        <is>
          <t>High</t>
        </is>
      </c>
      <c r="K25" s="15" t="inlineStr">
        <is>
          <t>AUTOMATED</t>
        </is>
      </c>
    </row>
    <row r="26" ht="20" customHeight="1">
      <c r="A26" s="13" t="inlineStr">
        <is>
          <t>TC_APP_025</t>
        </is>
      </c>
      <c r="B26" s="14" t="inlineStr">
        <is>
          <t>Authentication &amp; Passcode Setup</t>
        </is>
      </c>
      <c r="C26" s="14" t="inlineStr">
        <is>
          <t>Verify mobile operator passcode unlock with PIN '0025' (Test #25)</t>
        </is>
      </c>
      <c r="D26" s="14" t="inlineStr">
        <is>
          <t>Mobile app installed, passcode entry screen active</t>
        </is>
      </c>
      <c r="E26" s="14" t="inlineStr">
        <is>
          <t>1. Launch App via Appium driver
2. Tap keypad buttons '0025'
3. Tap Submit button
4. Verify navigation to Dashboard screen</t>
        </is>
      </c>
      <c r="F26" s="14" t="inlineStr">
        <is>
          <t>Passcode=0025</t>
        </is>
      </c>
      <c r="G26" s="14" t="inlineStr">
        <is>
          <t>Passcode accepted; app unlocks operator portal and transitions to Dashboard.</t>
        </is>
      </c>
      <c r="H26" s="13" t="inlineStr">
        <is>
          <t>Automated (Appium)</t>
        </is>
      </c>
      <c r="I26" s="13" t="inlineStr">
        <is>
          <t>P2</t>
        </is>
      </c>
      <c r="J26" s="13" t="inlineStr">
        <is>
          <t>High</t>
        </is>
      </c>
      <c r="K26" s="15" t="inlineStr">
        <is>
          <t>AUTOMATED</t>
        </is>
      </c>
    </row>
    <row r="27" ht="20" customHeight="1">
      <c r="A27" s="16" t="inlineStr">
        <is>
          <t>TC_APP_026</t>
        </is>
      </c>
      <c r="B27" s="17" t="inlineStr">
        <is>
          <t>Telemetry &amp; Live Traffic View</t>
        </is>
      </c>
      <c r="C27" s="17" t="inlineStr">
        <is>
          <t>Verify Telemetry stream live updates for log entry #1</t>
        </is>
      </c>
      <c r="D27" s="17" t="inlineStr">
        <is>
          <t>Operator authenticated on Telemetry tab</t>
        </is>
      </c>
      <c r="E27" s="17" t="inlineStr">
        <is>
          <t>1. Tap Telemetry tab (~tab_telemetry_stream)
2. Perform pull-to-refresh vertical swipe
3. Read text of ~card_bytes_transferred</t>
        </is>
      </c>
      <c r="F27" s="17" t="inlineStr">
        <is>
          <t>Log_Index=1, Endpoint=/api/telemetry/stream</t>
        </is>
      </c>
      <c r="G27" s="17" t="inlineStr">
        <is>
          <t>Telemetry log list updates dynamically with byte count and timestamp.</t>
        </is>
      </c>
      <c r="H27" s="16" t="inlineStr">
        <is>
          <t>Automated (Appium)</t>
        </is>
      </c>
      <c r="I27" s="16" t="inlineStr">
        <is>
          <t>P1</t>
        </is>
      </c>
      <c r="J27" s="16" t="inlineStr">
        <is>
          <t>Medium</t>
        </is>
      </c>
      <c r="K27" s="15" t="inlineStr">
        <is>
          <t>PASSED</t>
        </is>
      </c>
    </row>
    <row r="28" ht="20" customHeight="1">
      <c r="A28" s="13" t="inlineStr">
        <is>
          <t>TC_APP_027</t>
        </is>
      </c>
      <c r="B28" s="14" t="inlineStr">
        <is>
          <t>Telemetry &amp; Live Traffic View</t>
        </is>
      </c>
      <c r="C28" s="14" t="inlineStr">
        <is>
          <t>Verify Telemetry stream live updates for log entry #2</t>
        </is>
      </c>
      <c r="D28" s="14" t="inlineStr">
        <is>
          <t>Operator authenticated on Telemetry tab</t>
        </is>
      </c>
      <c r="E28" s="14" t="inlineStr">
        <is>
          <t>1. Tap Telemetry tab (~tab_telemetry_stream)
2. Perform pull-to-refresh vertical swipe
3. Read text of ~card_bytes_transferred</t>
        </is>
      </c>
      <c r="F28" s="14" t="inlineStr">
        <is>
          <t>Log_Index=2, Endpoint=/api/telemetry/stream</t>
        </is>
      </c>
      <c r="G28" s="14" t="inlineStr">
        <is>
          <t>Telemetry log list updates dynamically with byte count and timestamp.</t>
        </is>
      </c>
      <c r="H28" s="13" t="inlineStr">
        <is>
          <t>Automated (Appium)</t>
        </is>
      </c>
      <c r="I28" s="13" t="inlineStr">
        <is>
          <t>P1</t>
        </is>
      </c>
      <c r="J28" s="13" t="inlineStr">
        <is>
          <t>Medium</t>
        </is>
      </c>
      <c r="K28" s="15" t="inlineStr">
        <is>
          <t>PASSED</t>
        </is>
      </c>
    </row>
    <row r="29" ht="20" customHeight="1">
      <c r="A29" s="16" t="inlineStr">
        <is>
          <t>TC_APP_028</t>
        </is>
      </c>
      <c r="B29" s="17" t="inlineStr">
        <is>
          <t>Telemetry &amp; Live Traffic View</t>
        </is>
      </c>
      <c r="C29" s="17" t="inlineStr">
        <is>
          <t>Verify Telemetry stream live updates for log entry #3</t>
        </is>
      </c>
      <c r="D29" s="17" t="inlineStr">
        <is>
          <t>Operator authenticated on Telemetry tab</t>
        </is>
      </c>
      <c r="E29" s="17" t="inlineStr">
        <is>
          <t>1. Tap Telemetry tab (~tab_telemetry_stream)
2. Perform pull-to-refresh vertical swipe
3. Read text of ~card_bytes_transferred</t>
        </is>
      </c>
      <c r="F29" s="17" t="inlineStr">
        <is>
          <t>Log_Index=3, Endpoint=/api/telemetry/stream</t>
        </is>
      </c>
      <c r="G29" s="17" t="inlineStr">
        <is>
          <t>Telemetry log list updates dynamically with byte count and timestamp.</t>
        </is>
      </c>
      <c r="H29" s="16" t="inlineStr">
        <is>
          <t>Automated (Appium)</t>
        </is>
      </c>
      <c r="I29" s="16" t="inlineStr">
        <is>
          <t>P1</t>
        </is>
      </c>
      <c r="J29" s="16" t="inlineStr">
        <is>
          <t>Medium</t>
        </is>
      </c>
      <c r="K29" s="15" t="inlineStr">
        <is>
          <t>PASSED</t>
        </is>
      </c>
    </row>
    <row r="30" ht="20" customHeight="1">
      <c r="A30" s="13" t="inlineStr">
        <is>
          <t>TC_APP_029</t>
        </is>
      </c>
      <c r="B30" s="14" t="inlineStr">
        <is>
          <t>Telemetry &amp; Live Traffic View</t>
        </is>
      </c>
      <c r="C30" s="14" t="inlineStr">
        <is>
          <t>Verify Telemetry stream live updates for log entry #4</t>
        </is>
      </c>
      <c r="D30" s="14" t="inlineStr">
        <is>
          <t>Operator authenticated on Telemetry tab</t>
        </is>
      </c>
      <c r="E30" s="14" t="inlineStr">
        <is>
          <t>1. Tap Telemetry tab (~tab_telemetry_stream)
2. Perform pull-to-refresh vertical swipe
3. Read text of ~card_bytes_transferred</t>
        </is>
      </c>
      <c r="F30" s="14" t="inlineStr">
        <is>
          <t>Log_Index=4, Endpoint=/api/telemetry/stream</t>
        </is>
      </c>
      <c r="G30" s="14" t="inlineStr">
        <is>
          <t>Telemetry log list updates dynamically with byte count and timestamp.</t>
        </is>
      </c>
      <c r="H30" s="13" t="inlineStr">
        <is>
          <t>Automated (Appium)</t>
        </is>
      </c>
      <c r="I30" s="13" t="inlineStr">
        <is>
          <t>P1</t>
        </is>
      </c>
      <c r="J30" s="13" t="inlineStr">
        <is>
          <t>Medium</t>
        </is>
      </c>
      <c r="K30" s="15" t="inlineStr">
        <is>
          <t>PASSED</t>
        </is>
      </c>
    </row>
    <row r="31" ht="20" customHeight="1">
      <c r="A31" s="16" t="inlineStr">
        <is>
          <t>TC_APP_030</t>
        </is>
      </c>
      <c r="B31" s="17" t="inlineStr">
        <is>
          <t>Telemetry &amp; Live Traffic View</t>
        </is>
      </c>
      <c r="C31" s="17" t="inlineStr">
        <is>
          <t>Verify Telemetry stream live updates for log entry #5</t>
        </is>
      </c>
      <c r="D31" s="17" t="inlineStr">
        <is>
          <t>Operator authenticated on Telemetry tab</t>
        </is>
      </c>
      <c r="E31" s="17" t="inlineStr">
        <is>
          <t>1. Tap Telemetry tab (~tab_telemetry_stream)
2. Perform pull-to-refresh vertical swipe
3. Read text of ~card_bytes_transferred</t>
        </is>
      </c>
      <c r="F31" s="17" t="inlineStr">
        <is>
          <t>Log_Index=5, Endpoint=/api/telemetry/stream</t>
        </is>
      </c>
      <c r="G31" s="17" t="inlineStr">
        <is>
          <t>Telemetry log list updates dynamically with byte count and timestamp.</t>
        </is>
      </c>
      <c r="H31" s="16" t="inlineStr">
        <is>
          <t>Automated (Appium)</t>
        </is>
      </c>
      <c r="I31" s="16" t="inlineStr">
        <is>
          <t>P1</t>
        </is>
      </c>
      <c r="J31" s="16" t="inlineStr">
        <is>
          <t>Medium</t>
        </is>
      </c>
      <c r="K31" s="15" t="inlineStr">
        <is>
          <t>PASSED</t>
        </is>
      </c>
    </row>
    <row r="32" ht="20" customHeight="1">
      <c r="A32" s="13" t="inlineStr">
        <is>
          <t>TC_APP_031</t>
        </is>
      </c>
      <c r="B32" s="14" t="inlineStr">
        <is>
          <t>Telemetry &amp; Live Traffic View</t>
        </is>
      </c>
      <c r="C32" s="14" t="inlineStr">
        <is>
          <t>Verify Telemetry stream live updates for log entry #6</t>
        </is>
      </c>
      <c r="D32" s="14" t="inlineStr">
        <is>
          <t>Operator authenticated on Telemetry tab</t>
        </is>
      </c>
      <c r="E32" s="14" t="inlineStr">
        <is>
          <t>1. Tap Telemetry tab (~tab_telemetry_stream)
2. Perform pull-to-refresh vertical swipe
3. Read text of ~card_bytes_transferred</t>
        </is>
      </c>
      <c r="F32" s="14" t="inlineStr">
        <is>
          <t>Log_Index=6, Endpoint=/api/telemetry/stream</t>
        </is>
      </c>
      <c r="G32" s="14" t="inlineStr">
        <is>
          <t>Telemetry log list updates dynamically with byte count and timestamp.</t>
        </is>
      </c>
      <c r="H32" s="13" t="inlineStr">
        <is>
          <t>Automated (Appium)</t>
        </is>
      </c>
      <c r="I32" s="13" t="inlineStr">
        <is>
          <t>P1</t>
        </is>
      </c>
      <c r="J32" s="13" t="inlineStr">
        <is>
          <t>Medium</t>
        </is>
      </c>
      <c r="K32" s="15" t="inlineStr">
        <is>
          <t>PASSED</t>
        </is>
      </c>
    </row>
    <row r="33" ht="20" customHeight="1">
      <c r="A33" s="16" t="inlineStr">
        <is>
          <t>TC_APP_032</t>
        </is>
      </c>
      <c r="B33" s="17" t="inlineStr">
        <is>
          <t>Telemetry &amp; Live Traffic View</t>
        </is>
      </c>
      <c r="C33" s="17" t="inlineStr">
        <is>
          <t>Verify Telemetry stream live updates for log entry #7</t>
        </is>
      </c>
      <c r="D33" s="17" t="inlineStr">
        <is>
          <t>Operator authenticated on Telemetry tab</t>
        </is>
      </c>
      <c r="E33" s="17" t="inlineStr">
        <is>
          <t>1. Tap Telemetry tab (~tab_telemetry_stream)
2. Perform pull-to-refresh vertical swipe
3. Read text of ~card_bytes_transferred</t>
        </is>
      </c>
      <c r="F33" s="17" t="inlineStr">
        <is>
          <t>Log_Index=7, Endpoint=/api/telemetry/stream</t>
        </is>
      </c>
      <c r="G33" s="17" t="inlineStr">
        <is>
          <t>Telemetry log list updates dynamically with byte count and timestamp.</t>
        </is>
      </c>
      <c r="H33" s="16" t="inlineStr">
        <is>
          <t>Automated (Appium)</t>
        </is>
      </c>
      <c r="I33" s="16" t="inlineStr">
        <is>
          <t>P1</t>
        </is>
      </c>
      <c r="J33" s="16" t="inlineStr">
        <is>
          <t>Medium</t>
        </is>
      </c>
      <c r="K33" s="15" t="inlineStr">
        <is>
          <t>PASSED</t>
        </is>
      </c>
    </row>
    <row r="34" ht="20" customHeight="1">
      <c r="A34" s="13" t="inlineStr">
        <is>
          <t>TC_APP_033</t>
        </is>
      </c>
      <c r="B34" s="14" t="inlineStr">
        <is>
          <t>Telemetry &amp; Live Traffic View</t>
        </is>
      </c>
      <c r="C34" s="14" t="inlineStr">
        <is>
          <t>Verify Telemetry stream live updates for log entry #8</t>
        </is>
      </c>
      <c r="D34" s="14" t="inlineStr">
        <is>
          <t>Operator authenticated on Telemetry tab</t>
        </is>
      </c>
      <c r="E34" s="14" t="inlineStr">
        <is>
          <t>1. Tap Telemetry tab (~tab_telemetry_stream)
2. Perform pull-to-refresh vertical swipe
3. Read text of ~card_bytes_transferred</t>
        </is>
      </c>
      <c r="F34" s="14" t="inlineStr">
        <is>
          <t>Log_Index=8, Endpoint=/api/telemetry/stream</t>
        </is>
      </c>
      <c r="G34" s="14" t="inlineStr">
        <is>
          <t>Telemetry log list updates dynamically with byte count and timestamp.</t>
        </is>
      </c>
      <c r="H34" s="13" t="inlineStr">
        <is>
          <t>Automated (Appium)</t>
        </is>
      </c>
      <c r="I34" s="13" t="inlineStr">
        <is>
          <t>P1</t>
        </is>
      </c>
      <c r="J34" s="13" t="inlineStr">
        <is>
          <t>Medium</t>
        </is>
      </c>
      <c r="K34" s="15" t="inlineStr">
        <is>
          <t>PASSED</t>
        </is>
      </c>
    </row>
    <row r="35" ht="20" customHeight="1">
      <c r="A35" s="16" t="inlineStr">
        <is>
          <t>TC_APP_034</t>
        </is>
      </c>
      <c r="B35" s="17" t="inlineStr">
        <is>
          <t>Telemetry &amp; Live Traffic View</t>
        </is>
      </c>
      <c r="C35" s="17" t="inlineStr">
        <is>
          <t>Verify Telemetry stream live updates for log entry #9</t>
        </is>
      </c>
      <c r="D35" s="17" t="inlineStr">
        <is>
          <t>Operator authenticated on Telemetry tab</t>
        </is>
      </c>
      <c r="E35" s="17" t="inlineStr">
        <is>
          <t>1. Tap Telemetry tab (~tab_telemetry_stream)
2. Perform pull-to-refresh vertical swipe
3. Read text of ~card_bytes_transferred</t>
        </is>
      </c>
      <c r="F35" s="17" t="inlineStr">
        <is>
          <t>Log_Index=9, Endpoint=/api/telemetry/stream</t>
        </is>
      </c>
      <c r="G35" s="17" t="inlineStr">
        <is>
          <t>Telemetry log list updates dynamically with byte count and timestamp.</t>
        </is>
      </c>
      <c r="H35" s="16" t="inlineStr">
        <is>
          <t>Automated (Appium)</t>
        </is>
      </c>
      <c r="I35" s="16" t="inlineStr">
        <is>
          <t>P1</t>
        </is>
      </c>
      <c r="J35" s="16" t="inlineStr">
        <is>
          <t>Medium</t>
        </is>
      </c>
      <c r="K35" s="15" t="inlineStr">
        <is>
          <t>PASSED</t>
        </is>
      </c>
    </row>
    <row r="36" ht="20" customHeight="1">
      <c r="A36" s="13" t="inlineStr">
        <is>
          <t>TC_APP_035</t>
        </is>
      </c>
      <c r="B36" s="14" t="inlineStr">
        <is>
          <t>Telemetry &amp; Live Traffic View</t>
        </is>
      </c>
      <c r="C36" s="14" t="inlineStr">
        <is>
          <t>Verify Telemetry stream live updates for log entry #10</t>
        </is>
      </c>
      <c r="D36" s="14" t="inlineStr">
        <is>
          <t>Operator authenticated on Telemetry tab</t>
        </is>
      </c>
      <c r="E36" s="14" t="inlineStr">
        <is>
          <t>1. Tap Telemetry tab (~tab_telemetry_stream)
2. Perform pull-to-refresh vertical swipe
3. Read text of ~card_bytes_transferred</t>
        </is>
      </c>
      <c r="F36" s="14" t="inlineStr">
        <is>
          <t>Log_Index=10, Endpoint=/api/telemetry/stream</t>
        </is>
      </c>
      <c r="G36" s="14" t="inlineStr">
        <is>
          <t>Telemetry log list updates dynamically with byte count and timestamp.</t>
        </is>
      </c>
      <c r="H36" s="13" t="inlineStr">
        <is>
          <t>Automated (Appium)</t>
        </is>
      </c>
      <c r="I36" s="13" t="inlineStr">
        <is>
          <t>P1</t>
        </is>
      </c>
      <c r="J36" s="13" t="inlineStr">
        <is>
          <t>Medium</t>
        </is>
      </c>
      <c r="K36" s="15" t="inlineStr">
        <is>
          <t>PASSED</t>
        </is>
      </c>
    </row>
    <row r="37" ht="20" customHeight="1">
      <c r="A37" s="16" t="inlineStr">
        <is>
          <t>TC_APP_036</t>
        </is>
      </c>
      <c r="B37" s="17" t="inlineStr">
        <is>
          <t>Telemetry &amp; Live Traffic View</t>
        </is>
      </c>
      <c r="C37" s="17" t="inlineStr">
        <is>
          <t>Verify Telemetry stream live updates for log entry #11</t>
        </is>
      </c>
      <c r="D37" s="17" t="inlineStr">
        <is>
          <t>Operator authenticated on Telemetry tab</t>
        </is>
      </c>
      <c r="E37" s="17" t="inlineStr">
        <is>
          <t>1. Tap Telemetry tab (~tab_telemetry_stream)
2. Perform pull-to-refresh vertical swipe
3. Read text of ~card_bytes_transferred</t>
        </is>
      </c>
      <c r="F37" s="17" t="inlineStr">
        <is>
          <t>Log_Index=11, Endpoint=/api/telemetry/stream</t>
        </is>
      </c>
      <c r="G37" s="17" t="inlineStr">
        <is>
          <t>Telemetry log list updates dynamically with byte count and timestamp.</t>
        </is>
      </c>
      <c r="H37" s="16" t="inlineStr">
        <is>
          <t>Automated (Appium)</t>
        </is>
      </c>
      <c r="I37" s="16" t="inlineStr">
        <is>
          <t>P2</t>
        </is>
      </c>
      <c r="J37" s="16" t="inlineStr">
        <is>
          <t>Medium</t>
        </is>
      </c>
      <c r="K37" s="15" t="inlineStr">
        <is>
          <t>PASSED</t>
        </is>
      </c>
    </row>
    <row r="38" ht="20" customHeight="1">
      <c r="A38" s="13" t="inlineStr">
        <is>
          <t>TC_APP_037</t>
        </is>
      </c>
      <c r="B38" s="14" t="inlineStr">
        <is>
          <t>Telemetry &amp; Live Traffic View</t>
        </is>
      </c>
      <c r="C38" s="14" t="inlineStr">
        <is>
          <t>Verify Telemetry stream live updates for log entry #12</t>
        </is>
      </c>
      <c r="D38" s="14" t="inlineStr">
        <is>
          <t>Operator authenticated on Telemetry tab</t>
        </is>
      </c>
      <c r="E38" s="14" t="inlineStr">
        <is>
          <t>1. Tap Telemetry tab (~tab_telemetry_stream)
2. Perform pull-to-refresh vertical swipe
3. Read text of ~card_bytes_transferred</t>
        </is>
      </c>
      <c r="F38" s="14" t="inlineStr">
        <is>
          <t>Log_Index=12, Endpoint=/api/telemetry/stream</t>
        </is>
      </c>
      <c r="G38" s="14" t="inlineStr">
        <is>
          <t>Telemetry log list updates dynamically with byte count and timestamp.</t>
        </is>
      </c>
      <c r="H38" s="13" t="inlineStr">
        <is>
          <t>Automated (Appium)</t>
        </is>
      </c>
      <c r="I38" s="13" t="inlineStr">
        <is>
          <t>P2</t>
        </is>
      </c>
      <c r="J38" s="13" t="inlineStr">
        <is>
          <t>Medium</t>
        </is>
      </c>
      <c r="K38" s="15" t="inlineStr">
        <is>
          <t>PASSED</t>
        </is>
      </c>
    </row>
    <row r="39" ht="20" customHeight="1">
      <c r="A39" s="16" t="inlineStr">
        <is>
          <t>TC_APP_038</t>
        </is>
      </c>
      <c r="B39" s="17" t="inlineStr">
        <is>
          <t>Telemetry &amp; Live Traffic View</t>
        </is>
      </c>
      <c r="C39" s="17" t="inlineStr">
        <is>
          <t>Verify Telemetry stream live updates for log entry #13</t>
        </is>
      </c>
      <c r="D39" s="17" t="inlineStr">
        <is>
          <t>Operator authenticated on Telemetry tab</t>
        </is>
      </c>
      <c r="E39" s="17" t="inlineStr">
        <is>
          <t>1. Tap Telemetry tab (~tab_telemetry_stream)
2. Perform pull-to-refresh vertical swipe
3. Read text of ~card_bytes_transferred</t>
        </is>
      </c>
      <c r="F39" s="17" t="inlineStr">
        <is>
          <t>Log_Index=13, Endpoint=/api/telemetry/stream</t>
        </is>
      </c>
      <c r="G39" s="17" t="inlineStr">
        <is>
          <t>Telemetry log list updates dynamically with byte count and timestamp.</t>
        </is>
      </c>
      <c r="H39" s="16" t="inlineStr">
        <is>
          <t>Automated (Appium)</t>
        </is>
      </c>
      <c r="I39" s="16" t="inlineStr">
        <is>
          <t>P2</t>
        </is>
      </c>
      <c r="J39" s="16" t="inlineStr">
        <is>
          <t>Medium</t>
        </is>
      </c>
      <c r="K39" s="15" t="inlineStr">
        <is>
          <t>PASSED</t>
        </is>
      </c>
    </row>
    <row r="40" ht="20" customHeight="1">
      <c r="A40" s="13" t="inlineStr">
        <is>
          <t>TC_APP_039</t>
        </is>
      </c>
      <c r="B40" s="14" t="inlineStr">
        <is>
          <t>Telemetry &amp; Live Traffic View</t>
        </is>
      </c>
      <c r="C40" s="14" t="inlineStr">
        <is>
          <t>Verify Telemetry stream live updates for log entry #14</t>
        </is>
      </c>
      <c r="D40" s="14" t="inlineStr">
        <is>
          <t>Operator authenticated on Telemetry tab</t>
        </is>
      </c>
      <c r="E40" s="14" t="inlineStr">
        <is>
          <t>1. Tap Telemetry tab (~tab_telemetry_stream)
2. Perform pull-to-refresh vertical swipe
3. Read text of ~card_bytes_transferred</t>
        </is>
      </c>
      <c r="F40" s="14" t="inlineStr">
        <is>
          <t>Log_Index=14, Endpoint=/api/telemetry/stream</t>
        </is>
      </c>
      <c r="G40" s="14" t="inlineStr">
        <is>
          <t>Telemetry log list updates dynamically with byte count and timestamp.</t>
        </is>
      </c>
      <c r="H40" s="13" t="inlineStr">
        <is>
          <t>Automated (Appium)</t>
        </is>
      </c>
      <c r="I40" s="13" t="inlineStr">
        <is>
          <t>P2</t>
        </is>
      </c>
      <c r="J40" s="13" t="inlineStr">
        <is>
          <t>Medium</t>
        </is>
      </c>
      <c r="K40" s="15" t="inlineStr">
        <is>
          <t>PASSED</t>
        </is>
      </c>
    </row>
    <row r="41" ht="20" customHeight="1">
      <c r="A41" s="16" t="inlineStr">
        <is>
          <t>TC_APP_040</t>
        </is>
      </c>
      <c r="B41" s="17" t="inlineStr">
        <is>
          <t>Telemetry &amp; Live Traffic View</t>
        </is>
      </c>
      <c r="C41" s="17" t="inlineStr">
        <is>
          <t>Verify Telemetry stream live updates for log entry #15</t>
        </is>
      </c>
      <c r="D41" s="17" t="inlineStr">
        <is>
          <t>Operator authenticated on Telemetry tab</t>
        </is>
      </c>
      <c r="E41" s="17" t="inlineStr">
        <is>
          <t>1. Tap Telemetry tab (~tab_telemetry_stream)
2. Perform pull-to-refresh vertical swipe
3. Read text of ~card_bytes_transferred</t>
        </is>
      </c>
      <c r="F41" s="17" t="inlineStr">
        <is>
          <t>Log_Index=15, Endpoint=/api/telemetry/stream</t>
        </is>
      </c>
      <c r="G41" s="17" t="inlineStr">
        <is>
          <t>Telemetry log list updates dynamically with byte count and timestamp.</t>
        </is>
      </c>
      <c r="H41" s="16" t="inlineStr">
        <is>
          <t>Automated (Appium)</t>
        </is>
      </c>
      <c r="I41" s="16" t="inlineStr">
        <is>
          <t>P2</t>
        </is>
      </c>
      <c r="J41" s="16" t="inlineStr">
        <is>
          <t>Medium</t>
        </is>
      </c>
      <c r="K41" s="15" t="inlineStr">
        <is>
          <t>PASSED</t>
        </is>
      </c>
    </row>
    <row r="42" ht="20" customHeight="1">
      <c r="A42" s="13" t="inlineStr">
        <is>
          <t>TC_APP_041</t>
        </is>
      </c>
      <c r="B42" s="14" t="inlineStr">
        <is>
          <t>Telemetry &amp; Live Traffic View</t>
        </is>
      </c>
      <c r="C42" s="14" t="inlineStr">
        <is>
          <t>Verify Telemetry stream live updates for log entry #16</t>
        </is>
      </c>
      <c r="D42" s="14" t="inlineStr">
        <is>
          <t>Operator authenticated on Telemetry tab</t>
        </is>
      </c>
      <c r="E42" s="14" t="inlineStr">
        <is>
          <t>1. Tap Telemetry tab (~tab_telemetry_stream)
2. Perform pull-to-refresh vertical swipe
3. Read text of ~card_bytes_transferred</t>
        </is>
      </c>
      <c r="F42" s="14" t="inlineStr">
        <is>
          <t>Log_Index=16, Endpoint=/api/telemetry/stream</t>
        </is>
      </c>
      <c r="G42" s="14" t="inlineStr">
        <is>
          <t>Telemetry log list updates dynamically with byte count and timestamp.</t>
        </is>
      </c>
      <c r="H42" s="13" t="inlineStr">
        <is>
          <t>Automated (Appium)</t>
        </is>
      </c>
      <c r="I42" s="13" t="inlineStr">
        <is>
          <t>P2</t>
        </is>
      </c>
      <c r="J42" s="13" t="inlineStr">
        <is>
          <t>Medium</t>
        </is>
      </c>
      <c r="K42" s="15" t="inlineStr">
        <is>
          <t>AUTOMATED</t>
        </is>
      </c>
    </row>
    <row r="43" ht="20" customHeight="1">
      <c r="A43" s="16" t="inlineStr">
        <is>
          <t>TC_APP_042</t>
        </is>
      </c>
      <c r="B43" s="17" t="inlineStr">
        <is>
          <t>Telemetry &amp; Live Traffic View</t>
        </is>
      </c>
      <c r="C43" s="17" t="inlineStr">
        <is>
          <t>Verify Telemetry stream live updates for log entry #17</t>
        </is>
      </c>
      <c r="D43" s="17" t="inlineStr">
        <is>
          <t>Operator authenticated on Telemetry tab</t>
        </is>
      </c>
      <c r="E43" s="17" t="inlineStr">
        <is>
          <t>1. Tap Telemetry tab (~tab_telemetry_stream)
2. Perform pull-to-refresh vertical swipe
3. Read text of ~card_bytes_transferred</t>
        </is>
      </c>
      <c r="F43" s="17" t="inlineStr">
        <is>
          <t>Log_Index=17, Endpoint=/api/telemetry/stream</t>
        </is>
      </c>
      <c r="G43" s="17" t="inlineStr">
        <is>
          <t>Telemetry log list updates dynamically with byte count and timestamp.</t>
        </is>
      </c>
      <c r="H43" s="16" t="inlineStr">
        <is>
          <t>Automated (Appium)</t>
        </is>
      </c>
      <c r="I43" s="16" t="inlineStr">
        <is>
          <t>P2</t>
        </is>
      </c>
      <c r="J43" s="16" t="inlineStr">
        <is>
          <t>Medium</t>
        </is>
      </c>
      <c r="K43" s="15" t="inlineStr">
        <is>
          <t>AUTOMATED</t>
        </is>
      </c>
    </row>
    <row r="44" ht="20" customHeight="1">
      <c r="A44" s="13" t="inlineStr">
        <is>
          <t>TC_APP_043</t>
        </is>
      </c>
      <c r="B44" s="14" t="inlineStr">
        <is>
          <t>Telemetry &amp; Live Traffic View</t>
        </is>
      </c>
      <c r="C44" s="14" t="inlineStr">
        <is>
          <t>Verify Telemetry stream live updates for log entry #18</t>
        </is>
      </c>
      <c r="D44" s="14" t="inlineStr">
        <is>
          <t>Operator authenticated on Telemetry tab</t>
        </is>
      </c>
      <c r="E44" s="14" t="inlineStr">
        <is>
          <t>1. Tap Telemetry tab (~tab_telemetry_stream)
2. Perform pull-to-refresh vertical swipe
3. Read text of ~card_bytes_transferred</t>
        </is>
      </c>
      <c r="F44" s="14" t="inlineStr">
        <is>
          <t>Log_Index=18, Endpoint=/api/telemetry/stream</t>
        </is>
      </c>
      <c r="G44" s="14" t="inlineStr">
        <is>
          <t>Telemetry log list updates dynamically with byte count and timestamp.</t>
        </is>
      </c>
      <c r="H44" s="13" t="inlineStr">
        <is>
          <t>Automated (Appium)</t>
        </is>
      </c>
      <c r="I44" s="13" t="inlineStr">
        <is>
          <t>P2</t>
        </is>
      </c>
      <c r="J44" s="13" t="inlineStr">
        <is>
          <t>Medium</t>
        </is>
      </c>
      <c r="K44" s="15" t="inlineStr">
        <is>
          <t>AUTOMATED</t>
        </is>
      </c>
    </row>
    <row r="45" ht="20" customHeight="1">
      <c r="A45" s="16" t="inlineStr">
        <is>
          <t>TC_APP_044</t>
        </is>
      </c>
      <c r="B45" s="17" t="inlineStr">
        <is>
          <t>Telemetry &amp; Live Traffic View</t>
        </is>
      </c>
      <c r="C45" s="17" t="inlineStr">
        <is>
          <t>Verify Telemetry stream live updates for log entry #19</t>
        </is>
      </c>
      <c r="D45" s="17" t="inlineStr">
        <is>
          <t>Operator authenticated on Telemetry tab</t>
        </is>
      </c>
      <c r="E45" s="17" t="inlineStr">
        <is>
          <t>1. Tap Telemetry tab (~tab_telemetry_stream)
2. Perform pull-to-refresh vertical swipe
3. Read text of ~card_bytes_transferred</t>
        </is>
      </c>
      <c r="F45" s="17" t="inlineStr">
        <is>
          <t>Log_Index=19, Endpoint=/api/telemetry/stream</t>
        </is>
      </c>
      <c r="G45" s="17" t="inlineStr">
        <is>
          <t>Telemetry log list updates dynamically with byte count and timestamp.</t>
        </is>
      </c>
      <c r="H45" s="16" t="inlineStr">
        <is>
          <t>Automated (Appium)</t>
        </is>
      </c>
      <c r="I45" s="16" t="inlineStr">
        <is>
          <t>P2</t>
        </is>
      </c>
      <c r="J45" s="16" t="inlineStr">
        <is>
          <t>Medium</t>
        </is>
      </c>
      <c r="K45" s="15" t="inlineStr">
        <is>
          <t>AUTOMATED</t>
        </is>
      </c>
    </row>
    <row r="46" ht="20" customHeight="1">
      <c r="A46" s="13" t="inlineStr">
        <is>
          <t>TC_APP_045</t>
        </is>
      </c>
      <c r="B46" s="14" t="inlineStr">
        <is>
          <t>Telemetry &amp; Live Traffic View</t>
        </is>
      </c>
      <c r="C46" s="14" t="inlineStr">
        <is>
          <t>Verify Telemetry stream live updates for log entry #20</t>
        </is>
      </c>
      <c r="D46" s="14" t="inlineStr">
        <is>
          <t>Operator authenticated on Telemetry tab</t>
        </is>
      </c>
      <c r="E46" s="14" t="inlineStr">
        <is>
          <t>1. Tap Telemetry tab (~tab_telemetry_stream)
2. Perform pull-to-refresh vertical swipe
3. Read text of ~card_bytes_transferred</t>
        </is>
      </c>
      <c r="F46" s="14" t="inlineStr">
        <is>
          <t>Log_Index=20, Endpoint=/api/telemetry/stream</t>
        </is>
      </c>
      <c r="G46" s="14" t="inlineStr">
        <is>
          <t>Telemetry log list updates dynamically with byte count and timestamp.</t>
        </is>
      </c>
      <c r="H46" s="13" t="inlineStr">
        <is>
          <t>Automated (Appium)</t>
        </is>
      </c>
      <c r="I46" s="13" t="inlineStr">
        <is>
          <t>P2</t>
        </is>
      </c>
      <c r="J46" s="13" t="inlineStr">
        <is>
          <t>Medium</t>
        </is>
      </c>
      <c r="K46" s="15" t="inlineStr">
        <is>
          <t>AUTOMATED</t>
        </is>
      </c>
    </row>
    <row r="47" ht="20" customHeight="1">
      <c r="A47" s="16" t="inlineStr">
        <is>
          <t>TC_APP_046</t>
        </is>
      </c>
      <c r="B47" s="17" t="inlineStr">
        <is>
          <t>Telemetry &amp; Live Traffic View</t>
        </is>
      </c>
      <c r="C47" s="17" t="inlineStr">
        <is>
          <t>Verify Telemetry stream live updates for log entry #21</t>
        </is>
      </c>
      <c r="D47" s="17" t="inlineStr">
        <is>
          <t>Operator authenticated on Telemetry tab</t>
        </is>
      </c>
      <c r="E47" s="17" t="inlineStr">
        <is>
          <t>1. Tap Telemetry tab (~tab_telemetry_stream)
2. Perform pull-to-refresh vertical swipe
3. Read text of ~card_bytes_transferred</t>
        </is>
      </c>
      <c r="F47" s="17" t="inlineStr">
        <is>
          <t>Log_Index=21, Endpoint=/api/telemetry/stream</t>
        </is>
      </c>
      <c r="G47" s="17" t="inlineStr">
        <is>
          <t>Telemetry log list updates dynamically with byte count and timestamp.</t>
        </is>
      </c>
      <c r="H47" s="16" t="inlineStr">
        <is>
          <t>Automated (Appium)</t>
        </is>
      </c>
      <c r="I47" s="16" t="inlineStr">
        <is>
          <t>P2</t>
        </is>
      </c>
      <c r="J47" s="16" t="inlineStr">
        <is>
          <t>Medium</t>
        </is>
      </c>
      <c r="K47" s="15" t="inlineStr">
        <is>
          <t>AUTOMATED</t>
        </is>
      </c>
    </row>
    <row r="48" ht="20" customHeight="1">
      <c r="A48" s="13" t="inlineStr">
        <is>
          <t>TC_APP_047</t>
        </is>
      </c>
      <c r="B48" s="14" t="inlineStr">
        <is>
          <t>Telemetry &amp; Live Traffic View</t>
        </is>
      </c>
      <c r="C48" s="14" t="inlineStr">
        <is>
          <t>Verify Telemetry stream live updates for log entry #22</t>
        </is>
      </c>
      <c r="D48" s="14" t="inlineStr">
        <is>
          <t>Operator authenticated on Telemetry tab</t>
        </is>
      </c>
      <c r="E48" s="14" t="inlineStr">
        <is>
          <t>1. Tap Telemetry tab (~tab_telemetry_stream)
2. Perform pull-to-refresh vertical swipe
3. Read text of ~card_bytes_transferred</t>
        </is>
      </c>
      <c r="F48" s="14" t="inlineStr">
        <is>
          <t>Log_Index=22, Endpoint=/api/telemetry/stream</t>
        </is>
      </c>
      <c r="G48" s="14" t="inlineStr">
        <is>
          <t>Telemetry log list updates dynamically with byte count and timestamp.</t>
        </is>
      </c>
      <c r="H48" s="13" t="inlineStr">
        <is>
          <t>Automated (Appium)</t>
        </is>
      </c>
      <c r="I48" s="13" t="inlineStr">
        <is>
          <t>P2</t>
        </is>
      </c>
      <c r="J48" s="13" t="inlineStr">
        <is>
          <t>Medium</t>
        </is>
      </c>
      <c r="K48" s="15" t="inlineStr">
        <is>
          <t>AUTOMATED</t>
        </is>
      </c>
    </row>
    <row r="49" ht="20" customHeight="1">
      <c r="A49" s="16" t="inlineStr">
        <is>
          <t>TC_APP_048</t>
        </is>
      </c>
      <c r="B49" s="17" t="inlineStr">
        <is>
          <t>Telemetry &amp; Live Traffic View</t>
        </is>
      </c>
      <c r="C49" s="17" t="inlineStr">
        <is>
          <t>Verify Telemetry stream live updates for log entry #23</t>
        </is>
      </c>
      <c r="D49" s="17" t="inlineStr">
        <is>
          <t>Operator authenticated on Telemetry tab</t>
        </is>
      </c>
      <c r="E49" s="17" t="inlineStr">
        <is>
          <t>1. Tap Telemetry tab (~tab_telemetry_stream)
2. Perform pull-to-refresh vertical swipe
3. Read text of ~card_bytes_transferred</t>
        </is>
      </c>
      <c r="F49" s="17" t="inlineStr">
        <is>
          <t>Log_Index=23, Endpoint=/api/telemetry/stream</t>
        </is>
      </c>
      <c r="G49" s="17" t="inlineStr">
        <is>
          <t>Telemetry log list updates dynamically with byte count and timestamp.</t>
        </is>
      </c>
      <c r="H49" s="16" t="inlineStr">
        <is>
          <t>Automated (Appium)</t>
        </is>
      </c>
      <c r="I49" s="16" t="inlineStr">
        <is>
          <t>P2</t>
        </is>
      </c>
      <c r="J49" s="16" t="inlineStr">
        <is>
          <t>Medium</t>
        </is>
      </c>
      <c r="K49" s="15" t="inlineStr">
        <is>
          <t>AUTOMATED</t>
        </is>
      </c>
    </row>
    <row r="50" ht="20" customHeight="1">
      <c r="A50" s="13" t="inlineStr">
        <is>
          <t>TC_APP_049</t>
        </is>
      </c>
      <c r="B50" s="14" t="inlineStr">
        <is>
          <t>Telemetry &amp; Live Traffic View</t>
        </is>
      </c>
      <c r="C50" s="14" t="inlineStr">
        <is>
          <t>Verify Telemetry stream live updates for log entry #24</t>
        </is>
      </c>
      <c r="D50" s="14" t="inlineStr">
        <is>
          <t>Operator authenticated on Telemetry tab</t>
        </is>
      </c>
      <c r="E50" s="14" t="inlineStr">
        <is>
          <t>1. Tap Telemetry tab (~tab_telemetry_stream)
2. Perform pull-to-refresh vertical swipe
3. Read text of ~card_bytes_transferred</t>
        </is>
      </c>
      <c r="F50" s="14" t="inlineStr">
        <is>
          <t>Log_Index=24, Endpoint=/api/telemetry/stream</t>
        </is>
      </c>
      <c r="G50" s="14" t="inlineStr">
        <is>
          <t>Telemetry log list updates dynamically with byte count and timestamp.</t>
        </is>
      </c>
      <c r="H50" s="13" t="inlineStr">
        <is>
          <t>Automated (Appium)</t>
        </is>
      </c>
      <c r="I50" s="13" t="inlineStr">
        <is>
          <t>P2</t>
        </is>
      </c>
      <c r="J50" s="13" t="inlineStr">
        <is>
          <t>Medium</t>
        </is>
      </c>
      <c r="K50" s="15" t="inlineStr">
        <is>
          <t>AUTOMATED</t>
        </is>
      </c>
    </row>
    <row r="51" ht="20" customHeight="1">
      <c r="A51" s="16" t="inlineStr">
        <is>
          <t>TC_APP_050</t>
        </is>
      </c>
      <c r="B51" s="17" t="inlineStr">
        <is>
          <t>Telemetry &amp; Live Traffic View</t>
        </is>
      </c>
      <c r="C51" s="17" t="inlineStr">
        <is>
          <t>Verify Telemetry stream live updates for log entry #25</t>
        </is>
      </c>
      <c r="D51" s="17" t="inlineStr">
        <is>
          <t>Operator authenticated on Telemetry tab</t>
        </is>
      </c>
      <c r="E51" s="17" t="inlineStr">
        <is>
          <t>1. Tap Telemetry tab (~tab_telemetry_stream)
2. Perform pull-to-refresh vertical swipe
3. Read text of ~card_bytes_transferred</t>
        </is>
      </c>
      <c r="F51" s="17" t="inlineStr">
        <is>
          <t>Log_Index=25, Endpoint=/api/telemetry/stream</t>
        </is>
      </c>
      <c r="G51" s="17" t="inlineStr">
        <is>
          <t>Telemetry log list updates dynamically with byte count and timestamp.</t>
        </is>
      </c>
      <c r="H51" s="16" t="inlineStr">
        <is>
          <t>Automated (Appium)</t>
        </is>
      </c>
      <c r="I51" s="16" t="inlineStr">
        <is>
          <t>P2</t>
        </is>
      </c>
      <c r="J51" s="16" t="inlineStr">
        <is>
          <t>Medium</t>
        </is>
      </c>
      <c r="K51" s="15" t="inlineStr">
        <is>
          <t>AUTOMATED</t>
        </is>
      </c>
    </row>
    <row r="52" ht="20" customHeight="1">
      <c r="A52" s="13" t="inlineStr">
        <is>
          <t>TC_APP_051</t>
        </is>
      </c>
      <c r="B52" s="14" t="inlineStr">
        <is>
          <t>Intel Lookup &amp; Threat Score Gauge</t>
        </is>
      </c>
      <c r="C52" s="14" t="inlineStr">
        <is>
          <t>Verify IP Threat Intel query for IP '185.15.1.100'</t>
        </is>
      </c>
      <c r="D52" s="14" t="inlineStr">
        <is>
          <t>Intel Lookup tab active (~tab_intel_lookup)</t>
        </is>
      </c>
      <c r="E52" s="14" t="inlineStr">
        <is>
          <t>1. Type '185.15.1.100' into ~input_ip_intel_lookup
2. Tap ~btn_execute_intel_search
3. Read threat score gauge &amp; status badge</t>
        </is>
      </c>
      <c r="F52" s="14" t="inlineStr">
        <is>
          <t>Target_IP=185.15.1.100</t>
        </is>
      </c>
      <c r="G52" s="14" t="inlineStr">
        <is>
          <t>Threat score gauge updates instantly with score (0-100) and status ('Clean', 'Suspicious', 'Malicious').</t>
        </is>
      </c>
      <c r="H52" s="13" t="inlineStr">
        <is>
          <t>Automated (Appium)</t>
        </is>
      </c>
      <c r="I52" s="13" t="inlineStr">
        <is>
          <t>P1</t>
        </is>
      </c>
      <c r="J52" s="13" t="inlineStr">
        <is>
          <t>High</t>
        </is>
      </c>
      <c r="K52" s="15" t="inlineStr">
        <is>
          <t>PASSED</t>
        </is>
      </c>
    </row>
    <row r="53" ht="20" customHeight="1">
      <c r="A53" s="16" t="inlineStr">
        <is>
          <t>TC_APP_052</t>
        </is>
      </c>
      <c r="B53" s="17" t="inlineStr">
        <is>
          <t>Intel Lookup &amp; Threat Score Gauge</t>
        </is>
      </c>
      <c r="C53" s="17" t="inlineStr">
        <is>
          <t>Verify IP Threat Intel query for IP '8.8.8.8'</t>
        </is>
      </c>
      <c r="D53" s="17" t="inlineStr">
        <is>
          <t>Intel Lookup tab active (~tab_intel_lookup)</t>
        </is>
      </c>
      <c r="E53" s="17" t="inlineStr">
        <is>
          <t>1. Type '8.8.8.8' into ~input_ip_intel_lookup
2. Tap ~btn_execute_intel_search
3. Read threat score gauge &amp; status badge</t>
        </is>
      </c>
      <c r="F53" s="17" t="inlineStr">
        <is>
          <t>Target_IP=8.8.8.8</t>
        </is>
      </c>
      <c r="G53" s="17" t="inlineStr">
        <is>
          <t>Threat score gauge updates instantly with score (0-100) and status ('Clean', 'Suspicious', 'Malicious').</t>
        </is>
      </c>
      <c r="H53" s="16" t="inlineStr">
        <is>
          <t>Automated (Appium)</t>
        </is>
      </c>
      <c r="I53" s="16" t="inlineStr">
        <is>
          <t>P1</t>
        </is>
      </c>
      <c r="J53" s="16" t="inlineStr">
        <is>
          <t>High</t>
        </is>
      </c>
      <c r="K53" s="15" t="inlineStr">
        <is>
          <t>PASSED</t>
        </is>
      </c>
    </row>
    <row r="54" ht="20" customHeight="1">
      <c r="A54" s="13" t="inlineStr">
        <is>
          <t>TC_APP_053</t>
        </is>
      </c>
      <c r="B54" s="14" t="inlineStr">
        <is>
          <t>Intel Lookup &amp; Threat Score Gauge</t>
        </is>
      </c>
      <c r="C54" s="14" t="inlineStr">
        <is>
          <t>Verify IP Threat Intel query for IP '192.168.1.45'</t>
        </is>
      </c>
      <c r="D54" s="14" t="inlineStr">
        <is>
          <t>Intel Lookup tab active (~tab_intel_lookup)</t>
        </is>
      </c>
      <c r="E54" s="14" t="inlineStr">
        <is>
          <t>1. Type '192.168.1.45' into ~input_ip_intel_lookup
2. Tap ~btn_execute_intel_search
3. Read threat score gauge &amp; status badge</t>
        </is>
      </c>
      <c r="F54" s="14" t="inlineStr">
        <is>
          <t>Target_IP=192.168.1.45</t>
        </is>
      </c>
      <c r="G54" s="14" t="inlineStr">
        <is>
          <t>Threat score gauge updates instantly with score (0-100) and status ('Clean', 'Suspicious', 'Malicious').</t>
        </is>
      </c>
      <c r="H54" s="13" t="inlineStr">
        <is>
          <t>Automated (Appium)</t>
        </is>
      </c>
      <c r="I54" s="13" t="inlineStr">
        <is>
          <t>P1</t>
        </is>
      </c>
      <c r="J54" s="13" t="inlineStr">
        <is>
          <t>High</t>
        </is>
      </c>
      <c r="K54" s="15" t="inlineStr">
        <is>
          <t>PASSED</t>
        </is>
      </c>
    </row>
    <row r="55" ht="20" customHeight="1">
      <c r="A55" s="16" t="inlineStr">
        <is>
          <t>TC_APP_054</t>
        </is>
      </c>
      <c r="B55" s="17" t="inlineStr">
        <is>
          <t>Intel Lookup &amp; Threat Score Gauge</t>
        </is>
      </c>
      <c r="C55" s="17" t="inlineStr">
        <is>
          <t>Verify IP Threat Intel query for IP '45.33.32.156'</t>
        </is>
      </c>
      <c r="D55" s="17" t="inlineStr">
        <is>
          <t>Intel Lookup tab active (~tab_intel_lookup)</t>
        </is>
      </c>
      <c r="E55" s="17" t="inlineStr">
        <is>
          <t>1. Type '45.33.32.156' into ~input_ip_intel_lookup
2. Tap ~btn_execute_intel_search
3. Read threat score gauge &amp; status badge</t>
        </is>
      </c>
      <c r="F55" s="17" t="inlineStr">
        <is>
          <t>Target_IP=45.33.32.156</t>
        </is>
      </c>
      <c r="G55" s="17" t="inlineStr">
        <is>
          <t>Threat score gauge updates instantly with score (0-100) and status ('Clean', 'Suspicious', 'Malicious').</t>
        </is>
      </c>
      <c r="H55" s="16" t="inlineStr">
        <is>
          <t>Automated (Appium)</t>
        </is>
      </c>
      <c r="I55" s="16" t="inlineStr">
        <is>
          <t>P1</t>
        </is>
      </c>
      <c r="J55" s="16" t="inlineStr">
        <is>
          <t>High</t>
        </is>
      </c>
      <c r="K55" s="15" t="inlineStr">
        <is>
          <t>PASSED</t>
        </is>
      </c>
    </row>
    <row r="56" ht="20" customHeight="1">
      <c r="A56" s="13" t="inlineStr">
        <is>
          <t>TC_APP_055</t>
        </is>
      </c>
      <c r="B56" s="14" t="inlineStr">
        <is>
          <t>Intel Lookup &amp; Threat Score Gauge</t>
        </is>
      </c>
      <c r="C56" s="14" t="inlineStr">
        <is>
          <t>Verify IP Threat Intel query for IP '1.1.1.1'</t>
        </is>
      </c>
      <c r="D56" s="14" t="inlineStr">
        <is>
          <t>Intel Lookup tab active (~tab_intel_lookup)</t>
        </is>
      </c>
      <c r="E56" s="14" t="inlineStr">
        <is>
          <t>1. Type '1.1.1.1' into ~input_ip_intel_lookup
2. Tap ~btn_execute_intel_search
3. Read threat score gauge &amp; status badge</t>
        </is>
      </c>
      <c r="F56" s="14" t="inlineStr">
        <is>
          <t>Target_IP=1.1.1.1</t>
        </is>
      </c>
      <c r="G56" s="14" t="inlineStr">
        <is>
          <t>Threat score gauge updates instantly with score (0-100) and status ('Clean', 'Suspicious', 'Malicious').</t>
        </is>
      </c>
      <c r="H56" s="13" t="inlineStr">
        <is>
          <t>Automated (Appium)</t>
        </is>
      </c>
      <c r="I56" s="13" t="inlineStr">
        <is>
          <t>P1</t>
        </is>
      </c>
      <c r="J56" s="13" t="inlineStr">
        <is>
          <t>High</t>
        </is>
      </c>
      <c r="K56" s="15" t="inlineStr">
        <is>
          <t>PASSED</t>
        </is>
      </c>
    </row>
    <row r="57" ht="20" customHeight="1">
      <c r="A57" s="16" t="inlineStr">
        <is>
          <t>TC_APP_056</t>
        </is>
      </c>
      <c r="B57" s="17" t="inlineStr">
        <is>
          <t>Intel Lookup &amp; Threat Score Gauge</t>
        </is>
      </c>
      <c r="C57" s="17" t="inlineStr">
        <is>
          <t>Verify IP Threat Intel query for IP '10.0.0.1'</t>
        </is>
      </c>
      <c r="D57" s="17" t="inlineStr">
        <is>
          <t>Intel Lookup tab active (~tab_intel_lookup)</t>
        </is>
      </c>
      <c r="E57" s="17" t="inlineStr">
        <is>
          <t>1. Type '10.0.0.1' into ~input_ip_intel_lookup
2. Tap ~btn_execute_intel_search
3. Read threat score gauge &amp; status badge</t>
        </is>
      </c>
      <c r="F57" s="17" t="inlineStr">
        <is>
          <t>Target_IP=10.0.0.1</t>
        </is>
      </c>
      <c r="G57" s="17" t="inlineStr">
        <is>
          <t>Threat score gauge updates instantly with score (0-100) and status ('Clean', 'Suspicious', 'Malicious').</t>
        </is>
      </c>
      <c r="H57" s="16" t="inlineStr">
        <is>
          <t>Automated (Appium)</t>
        </is>
      </c>
      <c r="I57" s="16" t="inlineStr">
        <is>
          <t>P1</t>
        </is>
      </c>
      <c r="J57" s="16" t="inlineStr">
        <is>
          <t>High</t>
        </is>
      </c>
      <c r="K57" s="15" t="inlineStr">
        <is>
          <t>PASSED</t>
        </is>
      </c>
    </row>
    <row r="58" ht="20" customHeight="1">
      <c r="A58" s="13" t="inlineStr">
        <is>
          <t>TC_APP_057</t>
        </is>
      </c>
      <c r="B58" s="14" t="inlineStr">
        <is>
          <t>Intel Lookup &amp; Threat Score Gauge</t>
        </is>
      </c>
      <c r="C58" s="14" t="inlineStr">
        <is>
          <t>Verify IP Threat Intel query for IP '172.16.0.5'</t>
        </is>
      </c>
      <c r="D58" s="14" t="inlineStr">
        <is>
          <t>Intel Lookup tab active (~tab_intel_lookup)</t>
        </is>
      </c>
      <c r="E58" s="14" t="inlineStr">
        <is>
          <t>1. Type '172.16.0.5' into ~input_ip_intel_lookup
2. Tap ~btn_execute_intel_search
3. Read threat score gauge &amp; status badge</t>
        </is>
      </c>
      <c r="F58" s="14" t="inlineStr">
        <is>
          <t>Target_IP=172.16.0.5</t>
        </is>
      </c>
      <c r="G58" s="14" t="inlineStr">
        <is>
          <t>Threat score gauge updates instantly with score (0-100) and status ('Clean', 'Suspicious', 'Malicious').</t>
        </is>
      </c>
      <c r="H58" s="13" t="inlineStr">
        <is>
          <t>Automated (Appium)</t>
        </is>
      </c>
      <c r="I58" s="13" t="inlineStr">
        <is>
          <t>P1</t>
        </is>
      </c>
      <c r="J58" s="13" t="inlineStr">
        <is>
          <t>High</t>
        </is>
      </c>
      <c r="K58" s="15" t="inlineStr">
        <is>
          <t>PASSED</t>
        </is>
      </c>
    </row>
    <row r="59" ht="20" customHeight="1">
      <c r="A59" s="16" t="inlineStr">
        <is>
          <t>TC_APP_058</t>
        </is>
      </c>
      <c r="B59" s="17" t="inlineStr">
        <is>
          <t>Intel Lookup &amp; Threat Score Gauge</t>
        </is>
      </c>
      <c r="C59" s="17" t="inlineStr">
        <is>
          <t>Verify IP Threat Intel query for IP '198.51.100.14'</t>
        </is>
      </c>
      <c r="D59" s="17" t="inlineStr">
        <is>
          <t>Intel Lookup tab active (~tab_intel_lookup)</t>
        </is>
      </c>
      <c r="E59" s="17" t="inlineStr">
        <is>
          <t>1. Type '198.51.100.14' into ~input_ip_intel_lookup
2. Tap ~btn_execute_intel_search
3. Read threat score gauge &amp; status badge</t>
        </is>
      </c>
      <c r="F59" s="17" t="inlineStr">
        <is>
          <t>Target_IP=198.51.100.14</t>
        </is>
      </c>
      <c r="G59" s="17" t="inlineStr">
        <is>
          <t>Threat score gauge updates instantly with score (0-100) and status ('Clean', 'Suspicious', 'Malicious').</t>
        </is>
      </c>
      <c r="H59" s="16" t="inlineStr">
        <is>
          <t>Automated (Appium)</t>
        </is>
      </c>
      <c r="I59" s="16" t="inlineStr">
        <is>
          <t>P1</t>
        </is>
      </c>
      <c r="J59" s="16" t="inlineStr">
        <is>
          <t>High</t>
        </is>
      </c>
      <c r="K59" s="15" t="inlineStr">
        <is>
          <t>PASSED</t>
        </is>
      </c>
    </row>
    <row r="60" ht="20" customHeight="1">
      <c r="A60" s="13" t="inlineStr">
        <is>
          <t>TC_APP_059</t>
        </is>
      </c>
      <c r="B60" s="14" t="inlineStr">
        <is>
          <t>Intel Lookup &amp; Threat Score Gauge</t>
        </is>
      </c>
      <c r="C60" s="14" t="inlineStr">
        <is>
          <t>Verify IP Threat Intel query for IP '203.0.113.55'</t>
        </is>
      </c>
      <c r="D60" s="14" t="inlineStr">
        <is>
          <t>Intel Lookup tab active (~tab_intel_lookup)</t>
        </is>
      </c>
      <c r="E60" s="14" t="inlineStr">
        <is>
          <t>1. Type '203.0.113.55' into ~input_ip_intel_lookup
2. Tap ~btn_execute_intel_search
3. Read threat score gauge &amp; status badge</t>
        </is>
      </c>
      <c r="F60" s="14" t="inlineStr">
        <is>
          <t>Target_IP=203.0.113.55</t>
        </is>
      </c>
      <c r="G60" s="14" t="inlineStr">
        <is>
          <t>Threat score gauge updates instantly with score (0-100) and status ('Clean', 'Suspicious', 'Malicious').</t>
        </is>
      </c>
      <c r="H60" s="13" t="inlineStr">
        <is>
          <t>Automated (Appium)</t>
        </is>
      </c>
      <c r="I60" s="13" t="inlineStr">
        <is>
          <t>P1</t>
        </is>
      </c>
      <c r="J60" s="13" t="inlineStr">
        <is>
          <t>High</t>
        </is>
      </c>
      <c r="K60" s="15" t="inlineStr">
        <is>
          <t>PASSED</t>
        </is>
      </c>
    </row>
    <row r="61" ht="20" customHeight="1">
      <c r="A61" s="16" t="inlineStr">
        <is>
          <t>TC_APP_060</t>
        </is>
      </c>
      <c r="B61" s="17" t="inlineStr">
        <is>
          <t>Intel Lookup &amp; Threat Score Gauge</t>
        </is>
      </c>
      <c r="C61" s="17" t="inlineStr">
        <is>
          <t>Verify IP Threat Intel query for IP '104.16.12.3'</t>
        </is>
      </c>
      <c r="D61" s="17" t="inlineStr">
        <is>
          <t>Intel Lookup tab active (~tab_intel_lookup)</t>
        </is>
      </c>
      <c r="E61" s="17" t="inlineStr">
        <is>
          <t>1. Type '104.16.12.3' into ~input_ip_intel_lookup
2. Tap ~btn_execute_intel_search
3. Read threat score gauge &amp; status badge</t>
        </is>
      </c>
      <c r="F61" s="17" t="inlineStr">
        <is>
          <t>Target_IP=104.16.12.3</t>
        </is>
      </c>
      <c r="G61" s="17" t="inlineStr">
        <is>
          <t>Threat score gauge updates instantly with score (0-100) and status ('Clean', 'Suspicious', 'Malicious').</t>
        </is>
      </c>
      <c r="H61" s="16" t="inlineStr">
        <is>
          <t>Automated (Appium)</t>
        </is>
      </c>
      <c r="I61" s="16" t="inlineStr">
        <is>
          <t>P1</t>
        </is>
      </c>
      <c r="J61" s="16" t="inlineStr">
        <is>
          <t>High</t>
        </is>
      </c>
      <c r="K61" s="15" t="inlineStr">
        <is>
          <t>PASSED</t>
        </is>
      </c>
    </row>
    <row r="62" ht="20" customHeight="1">
      <c r="A62" s="13" t="inlineStr">
        <is>
          <t>TC_APP_061</t>
        </is>
      </c>
      <c r="B62" s="14" t="inlineStr">
        <is>
          <t>Intel Lookup &amp; Threat Score Gauge</t>
        </is>
      </c>
      <c r="C62" s="14" t="inlineStr">
        <is>
          <t>Verify IP Threat Intel query for IP '142.250.190.46'</t>
        </is>
      </c>
      <c r="D62" s="14" t="inlineStr">
        <is>
          <t>Intel Lookup tab active (~tab_intel_lookup)</t>
        </is>
      </c>
      <c r="E62" s="14" t="inlineStr">
        <is>
          <t>1. Type '142.250.190.46' into ~input_ip_intel_lookup
2. Tap ~btn_execute_intel_search
3. Read threat score gauge &amp; status badge</t>
        </is>
      </c>
      <c r="F62" s="14" t="inlineStr">
        <is>
          <t>Target_IP=142.250.190.46</t>
        </is>
      </c>
      <c r="G62" s="14" t="inlineStr">
        <is>
          <t>Threat score gauge updates instantly with score (0-100) and status ('Clean', 'Suspicious', 'Malicious').</t>
        </is>
      </c>
      <c r="H62" s="13" t="inlineStr">
        <is>
          <t>Automated (Appium)</t>
        </is>
      </c>
      <c r="I62" s="13" t="inlineStr">
        <is>
          <t>P1</t>
        </is>
      </c>
      <c r="J62" s="13" t="inlineStr">
        <is>
          <t>High</t>
        </is>
      </c>
      <c r="K62" s="15" t="inlineStr">
        <is>
          <t>PASSED</t>
        </is>
      </c>
    </row>
    <row r="63" ht="20" customHeight="1">
      <c r="A63" s="16" t="inlineStr">
        <is>
          <t>TC_APP_062</t>
        </is>
      </c>
      <c r="B63" s="17" t="inlineStr">
        <is>
          <t>Intel Lookup &amp; Threat Score Gauge</t>
        </is>
      </c>
      <c r="C63" s="17" t="inlineStr">
        <is>
          <t>Verify IP Threat Intel query for IP '151.101.1.140'</t>
        </is>
      </c>
      <c r="D63" s="17" t="inlineStr">
        <is>
          <t>Intel Lookup tab active (~tab_intel_lookup)</t>
        </is>
      </c>
      <c r="E63" s="17" t="inlineStr">
        <is>
          <t>1. Type '151.101.1.140' into ~input_ip_intel_lookup
2. Tap ~btn_execute_intel_search
3. Read threat score gauge &amp; status badge</t>
        </is>
      </c>
      <c r="F63" s="17" t="inlineStr">
        <is>
          <t>Target_IP=151.101.1.140</t>
        </is>
      </c>
      <c r="G63" s="17" t="inlineStr">
        <is>
          <t>Threat score gauge updates instantly with score (0-100) and status ('Clean', 'Suspicious', 'Malicious').</t>
        </is>
      </c>
      <c r="H63" s="16" t="inlineStr">
        <is>
          <t>Automated (Appium)</t>
        </is>
      </c>
      <c r="I63" s="16" t="inlineStr">
        <is>
          <t>P1</t>
        </is>
      </c>
      <c r="J63" s="16" t="inlineStr">
        <is>
          <t>High</t>
        </is>
      </c>
      <c r="K63" s="15" t="inlineStr">
        <is>
          <t>PASSED</t>
        </is>
      </c>
    </row>
    <row r="64" ht="20" customHeight="1">
      <c r="A64" s="13" t="inlineStr">
        <is>
          <t>TC_APP_063</t>
        </is>
      </c>
      <c r="B64" s="14" t="inlineStr">
        <is>
          <t>Intel Lookup &amp; Threat Score Gauge</t>
        </is>
      </c>
      <c r="C64" s="14" t="inlineStr">
        <is>
          <t>Verify IP Threat Intel query for IP '13.224.29.11'</t>
        </is>
      </c>
      <c r="D64" s="14" t="inlineStr">
        <is>
          <t>Intel Lookup tab active (~tab_intel_lookup)</t>
        </is>
      </c>
      <c r="E64" s="14" t="inlineStr">
        <is>
          <t>1. Type '13.224.29.11' into ~input_ip_intel_lookup
2. Tap ~btn_execute_intel_search
3. Read threat score gauge &amp; status badge</t>
        </is>
      </c>
      <c r="F64" s="14" t="inlineStr">
        <is>
          <t>Target_IP=13.224.29.11</t>
        </is>
      </c>
      <c r="G64" s="14" t="inlineStr">
        <is>
          <t>Threat score gauge updates instantly with score (0-100) and status ('Clean', 'Suspicious', 'Malicious').</t>
        </is>
      </c>
      <c r="H64" s="13" t="inlineStr">
        <is>
          <t>Automated (Appium)</t>
        </is>
      </c>
      <c r="I64" s="13" t="inlineStr">
        <is>
          <t>P1</t>
        </is>
      </c>
      <c r="J64" s="13" t="inlineStr">
        <is>
          <t>High</t>
        </is>
      </c>
      <c r="K64" s="15" t="inlineStr">
        <is>
          <t>PASSED</t>
        </is>
      </c>
    </row>
    <row r="65" ht="20" customHeight="1">
      <c r="A65" s="16" t="inlineStr">
        <is>
          <t>TC_APP_064</t>
        </is>
      </c>
      <c r="B65" s="17" t="inlineStr">
        <is>
          <t>Intel Lookup &amp; Threat Score Gauge</t>
        </is>
      </c>
      <c r="C65" s="17" t="inlineStr">
        <is>
          <t>Verify IP Threat Intel query for IP '52.84.125.29'</t>
        </is>
      </c>
      <c r="D65" s="17" t="inlineStr">
        <is>
          <t>Intel Lookup tab active (~tab_intel_lookup)</t>
        </is>
      </c>
      <c r="E65" s="17" t="inlineStr">
        <is>
          <t>1. Type '52.84.125.29' into ~input_ip_intel_lookup
2. Tap ~btn_execute_intel_search
3. Read threat score gauge &amp; status badge</t>
        </is>
      </c>
      <c r="F65" s="17" t="inlineStr">
        <is>
          <t>Target_IP=52.84.125.29</t>
        </is>
      </c>
      <c r="G65" s="17" t="inlineStr">
        <is>
          <t>Threat score gauge updates instantly with score (0-100) and status ('Clean', 'Suspicious', 'Malicious').</t>
        </is>
      </c>
      <c r="H65" s="16" t="inlineStr">
        <is>
          <t>Automated (Appium)</t>
        </is>
      </c>
      <c r="I65" s="16" t="inlineStr">
        <is>
          <t>P1</t>
        </is>
      </c>
      <c r="J65" s="16" t="inlineStr">
        <is>
          <t>High</t>
        </is>
      </c>
      <c r="K65" s="15" t="inlineStr">
        <is>
          <t>PASSED</t>
        </is>
      </c>
    </row>
    <row r="66" ht="20" customHeight="1">
      <c r="A66" s="13" t="inlineStr">
        <is>
          <t>TC_APP_065</t>
        </is>
      </c>
      <c r="B66" s="14" t="inlineStr">
        <is>
          <t>Intel Lookup &amp; Threat Score Gauge</t>
        </is>
      </c>
      <c r="C66" s="14" t="inlineStr">
        <is>
          <t>Verify IP Threat Intel query for IP '34.201.12.8'</t>
        </is>
      </c>
      <c r="D66" s="14" t="inlineStr">
        <is>
          <t>Intel Lookup tab active (~tab_intel_lookup)</t>
        </is>
      </c>
      <c r="E66" s="14" t="inlineStr">
        <is>
          <t>1. Type '34.201.12.8' into ~input_ip_intel_lookup
2. Tap ~btn_execute_intel_search
3. Read threat score gauge &amp; status badge</t>
        </is>
      </c>
      <c r="F66" s="14" t="inlineStr">
        <is>
          <t>Target_IP=34.201.12.8</t>
        </is>
      </c>
      <c r="G66" s="14" t="inlineStr">
        <is>
          <t>Threat score gauge updates instantly with score (0-100) and status ('Clean', 'Suspicious', 'Malicious').</t>
        </is>
      </c>
      <c r="H66" s="13" t="inlineStr">
        <is>
          <t>Automated (Appium)</t>
        </is>
      </c>
      <c r="I66" s="13" t="inlineStr">
        <is>
          <t>P1</t>
        </is>
      </c>
      <c r="J66" s="13" t="inlineStr">
        <is>
          <t>High</t>
        </is>
      </c>
      <c r="K66" s="15" t="inlineStr">
        <is>
          <t>PASSED</t>
        </is>
      </c>
    </row>
    <row r="67" ht="20" customHeight="1">
      <c r="A67" s="16" t="inlineStr">
        <is>
          <t>TC_APP_066</t>
        </is>
      </c>
      <c r="B67" s="17" t="inlineStr">
        <is>
          <t>Intel Lookup &amp; Threat Score Gauge</t>
        </is>
      </c>
      <c r="C67" s="17" t="inlineStr">
        <is>
          <t>Verify IP Threat Intel query for IP '93.184.216.34'</t>
        </is>
      </c>
      <c r="D67" s="17" t="inlineStr">
        <is>
          <t>Intel Lookup tab active (~tab_intel_lookup)</t>
        </is>
      </c>
      <c r="E67" s="17" t="inlineStr">
        <is>
          <t>1. Type '93.184.216.34' into ~input_ip_intel_lookup
2. Tap ~btn_execute_intel_search
3. Read threat score gauge &amp; status badge</t>
        </is>
      </c>
      <c r="F67" s="17" t="inlineStr">
        <is>
          <t>Target_IP=93.184.216.34</t>
        </is>
      </c>
      <c r="G67" s="17" t="inlineStr">
        <is>
          <t>Threat score gauge updates instantly with score (0-100) and status ('Clean', 'Suspicious', 'Malicious').</t>
        </is>
      </c>
      <c r="H67" s="16" t="inlineStr">
        <is>
          <t>Automated (Appium)</t>
        </is>
      </c>
      <c r="I67" s="16" t="inlineStr">
        <is>
          <t>P1</t>
        </is>
      </c>
      <c r="J67" s="16" t="inlineStr">
        <is>
          <t>High</t>
        </is>
      </c>
      <c r="K67" s="15" t="inlineStr">
        <is>
          <t>AUTOMATED</t>
        </is>
      </c>
    </row>
    <row r="68" ht="20" customHeight="1">
      <c r="A68" s="13" t="inlineStr">
        <is>
          <t>TC_APP_067</t>
        </is>
      </c>
      <c r="B68" s="14" t="inlineStr">
        <is>
          <t>Intel Lookup &amp; Threat Score Gauge</t>
        </is>
      </c>
      <c r="C68" s="14" t="inlineStr">
        <is>
          <t>Verify IP Threat Intel query for IP '185.220.101.5'</t>
        </is>
      </c>
      <c r="D68" s="14" t="inlineStr">
        <is>
          <t>Intel Lookup tab active (~tab_intel_lookup)</t>
        </is>
      </c>
      <c r="E68" s="14" t="inlineStr">
        <is>
          <t>1. Type '185.220.101.5' into ~input_ip_intel_lookup
2. Tap ~btn_execute_intel_search
3. Read threat score gauge &amp; status badge</t>
        </is>
      </c>
      <c r="F68" s="14" t="inlineStr">
        <is>
          <t>Target_IP=185.220.101.5</t>
        </is>
      </c>
      <c r="G68" s="14" t="inlineStr">
        <is>
          <t>Threat score gauge updates instantly with score (0-100) and status ('Clean', 'Suspicious', 'Malicious').</t>
        </is>
      </c>
      <c r="H68" s="13" t="inlineStr">
        <is>
          <t>Automated (Appium)</t>
        </is>
      </c>
      <c r="I68" s="13" t="inlineStr">
        <is>
          <t>P1</t>
        </is>
      </c>
      <c r="J68" s="13" t="inlineStr">
        <is>
          <t>High</t>
        </is>
      </c>
      <c r="K68" s="15" t="inlineStr">
        <is>
          <t>AUTOMATED</t>
        </is>
      </c>
    </row>
    <row r="69" ht="20" customHeight="1">
      <c r="A69" s="16" t="inlineStr">
        <is>
          <t>TC_APP_068</t>
        </is>
      </c>
      <c r="B69" s="17" t="inlineStr">
        <is>
          <t>Intel Lookup &amp; Threat Score Gauge</t>
        </is>
      </c>
      <c r="C69" s="17" t="inlineStr">
        <is>
          <t>Verify IP Threat Intel query for IP '194.26.29.112'</t>
        </is>
      </c>
      <c r="D69" s="17" t="inlineStr">
        <is>
          <t>Intel Lookup tab active (~tab_intel_lookup)</t>
        </is>
      </c>
      <c r="E69" s="17" t="inlineStr">
        <is>
          <t>1. Type '194.26.29.112' into ~input_ip_intel_lookup
2. Tap ~btn_execute_intel_search
3. Read threat score gauge &amp; status badge</t>
        </is>
      </c>
      <c r="F69" s="17" t="inlineStr">
        <is>
          <t>Target_IP=194.26.29.112</t>
        </is>
      </c>
      <c r="G69" s="17" t="inlineStr">
        <is>
          <t>Threat score gauge updates instantly with score (0-100) and status ('Clean', 'Suspicious', 'Malicious').</t>
        </is>
      </c>
      <c r="H69" s="16" t="inlineStr">
        <is>
          <t>Automated (Appium)</t>
        </is>
      </c>
      <c r="I69" s="16" t="inlineStr">
        <is>
          <t>P1</t>
        </is>
      </c>
      <c r="J69" s="16" t="inlineStr">
        <is>
          <t>High</t>
        </is>
      </c>
      <c r="K69" s="15" t="inlineStr">
        <is>
          <t>AUTOMATED</t>
        </is>
      </c>
    </row>
    <row r="70" ht="20" customHeight="1">
      <c r="A70" s="13" t="inlineStr">
        <is>
          <t>TC_APP_069</t>
        </is>
      </c>
      <c r="B70" s="14" t="inlineStr">
        <is>
          <t>Intel Lookup &amp; Threat Score Gauge</t>
        </is>
      </c>
      <c r="C70" s="14" t="inlineStr">
        <is>
          <t>Verify IP Threat Intel query for IP '185.220.101.7'</t>
        </is>
      </c>
      <c r="D70" s="14" t="inlineStr">
        <is>
          <t>Intel Lookup tab active (~tab_intel_lookup)</t>
        </is>
      </c>
      <c r="E70" s="14" t="inlineStr">
        <is>
          <t>1. Type '185.220.101.7' into ~input_ip_intel_lookup
2. Tap ~btn_execute_intel_search
3. Read threat score gauge &amp; status badge</t>
        </is>
      </c>
      <c r="F70" s="14" t="inlineStr">
        <is>
          <t>Target_IP=185.220.101.7</t>
        </is>
      </c>
      <c r="G70" s="14" t="inlineStr">
        <is>
          <t>Threat score gauge updates instantly with score (0-100) and status ('Clean', 'Suspicious', 'Malicious').</t>
        </is>
      </c>
      <c r="H70" s="13" t="inlineStr">
        <is>
          <t>Automated (Appium)</t>
        </is>
      </c>
      <c r="I70" s="13" t="inlineStr">
        <is>
          <t>P1</t>
        </is>
      </c>
      <c r="J70" s="13" t="inlineStr">
        <is>
          <t>High</t>
        </is>
      </c>
      <c r="K70" s="15" t="inlineStr">
        <is>
          <t>AUTOMATED</t>
        </is>
      </c>
    </row>
    <row r="71" ht="20" customHeight="1">
      <c r="A71" s="16" t="inlineStr">
        <is>
          <t>TC_APP_070</t>
        </is>
      </c>
      <c r="B71" s="17" t="inlineStr">
        <is>
          <t>Intel Lookup &amp; Threat Score Gauge</t>
        </is>
      </c>
      <c r="C71" s="17" t="inlineStr">
        <is>
          <t>Verify IP Threat Intel query for IP '185.220.101.9'</t>
        </is>
      </c>
      <c r="D71" s="17" t="inlineStr">
        <is>
          <t>Intel Lookup tab active (~tab_intel_lookup)</t>
        </is>
      </c>
      <c r="E71" s="17" t="inlineStr">
        <is>
          <t>1. Type '185.220.101.9' into ~input_ip_intel_lookup
2. Tap ~btn_execute_intel_search
3. Read threat score gauge &amp; status badge</t>
        </is>
      </c>
      <c r="F71" s="17" t="inlineStr">
        <is>
          <t>Target_IP=185.220.101.9</t>
        </is>
      </c>
      <c r="G71" s="17" t="inlineStr">
        <is>
          <t>Threat score gauge updates instantly with score (0-100) and status ('Clean', 'Suspicious', 'Malicious').</t>
        </is>
      </c>
      <c r="H71" s="16" t="inlineStr">
        <is>
          <t>Automated (Appium)</t>
        </is>
      </c>
      <c r="I71" s="16" t="inlineStr">
        <is>
          <t>P1</t>
        </is>
      </c>
      <c r="J71" s="16" t="inlineStr">
        <is>
          <t>High</t>
        </is>
      </c>
      <c r="K71" s="15" t="inlineStr">
        <is>
          <t>AUTOMATED</t>
        </is>
      </c>
    </row>
    <row r="72" ht="20" customHeight="1">
      <c r="A72" s="13" t="inlineStr">
        <is>
          <t>TC_APP_071</t>
        </is>
      </c>
      <c r="B72" s="14" t="inlineStr">
        <is>
          <t>Intel Lookup &amp; Threat Score Gauge</t>
        </is>
      </c>
      <c r="C72" s="14" t="inlineStr">
        <is>
          <t>Verify IP Threat Intel query for IP '198.96.155.3'</t>
        </is>
      </c>
      <c r="D72" s="14" t="inlineStr">
        <is>
          <t>Intel Lookup tab active (~tab_intel_lookup)</t>
        </is>
      </c>
      <c r="E72" s="14" t="inlineStr">
        <is>
          <t>1. Type '198.96.155.3' into ~input_ip_intel_lookup
2. Tap ~btn_execute_intel_search
3. Read threat score gauge &amp; status badge</t>
        </is>
      </c>
      <c r="F72" s="14" t="inlineStr">
        <is>
          <t>Target_IP=198.96.155.3</t>
        </is>
      </c>
      <c r="G72" s="14" t="inlineStr">
        <is>
          <t>Threat score gauge updates instantly with score (0-100) and status ('Clean', 'Suspicious', 'Malicious').</t>
        </is>
      </c>
      <c r="H72" s="13" t="inlineStr">
        <is>
          <t>Automated (Appium)</t>
        </is>
      </c>
      <c r="I72" s="13" t="inlineStr">
        <is>
          <t>P1</t>
        </is>
      </c>
      <c r="J72" s="13" t="inlineStr">
        <is>
          <t>High</t>
        </is>
      </c>
      <c r="K72" s="15" t="inlineStr">
        <is>
          <t>AUTOMATED</t>
        </is>
      </c>
    </row>
    <row r="73" ht="20" customHeight="1">
      <c r="A73" s="16" t="inlineStr">
        <is>
          <t>TC_APP_072</t>
        </is>
      </c>
      <c r="B73" s="17" t="inlineStr">
        <is>
          <t>Intel Lookup &amp; Threat Score Gauge</t>
        </is>
      </c>
      <c r="C73" s="17" t="inlineStr">
        <is>
          <t>Verify IP Threat Intel query for IP '171.25.193.9'</t>
        </is>
      </c>
      <c r="D73" s="17" t="inlineStr">
        <is>
          <t>Intel Lookup tab active (~tab_intel_lookup)</t>
        </is>
      </c>
      <c r="E73" s="17" t="inlineStr">
        <is>
          <t>1. Type '171.25.193.9' into ~input_ip_intel_lookup
2. Tap ~btn_execute_intel_search
3. Read threat score gauge &amp; status badge</t>
        </is>
      </c>
      <c r="F73" s="17" t="inlineStr">
        <is>
          <t>Target_IP=171.25.193.9</t>
        </is>
      </c>
      <c r="G73" s="17" t="inlineStr">
        <is>
          <t>Threat score gauge updates instantly with score (0-100) and status ('Clean', 'Suspicious', 'Malicious').</t>
        </is>
      </c>
      <c r="H73" s="16" t="inlineStr">
        <is>
          <t>Automated (Appium)</t>
        </is>
      </c>
      <c r="I73" s="16" t="inlineStr">
        <is>
          <t>P1</t>
        </is>
      </c>
      <c r="J73" s="16" t="inlineStr">
        <is>
          <t>High</t>
        </is>
      </c>
      <c r="K73" s="15" t="inlineStr">
        <is>
          <t>AUTOMATED</t>
        </is>
      </c>
    </row>
    <row r="74" ht="20" customHeight="1">
      <c r="A74" s="13" t="inlineStr">
        <is>
          <t>TC_APP_073</t>
        </is>
      </c>
      <c r="B74" s="14" t="inlineStr">
        <is>
          <t>Intel Lookup &amp; Threat Score Gauge</t>
        </is>
      </c>
      <c r="C74" s="14" t="inlineStr">
        <is>
          <t>Verify IP Threat Intel query for IP '109.70.100.18'</t>
        </is>
      </c>
      <c r="D74" s="14" t="inlineStr">
        <is>
          <t>Intel Lookup tab active (~tab_intel_lookup)</t>
        </is>
      </c>
      <c r="E74" s="14" t="inlineStr">
        <is>
          <t>1. Type '109.70.100.18' into ~input_ip_intel_lookup
2. Tap ~btn_execute_intel_search
3. Read threat score gauge &amp; status badge</t>
        </is>
      </c>
      <c r="F74" s="14" t="inlineStr">
        <is>
          <t>Target_IP=109.70.100.18</t>
        </is>
      </c>
      <c r="G74" s="14" t="inlineStr">
        <is>
          <t>Threat score gauge updates instantly with score (0-100) and status ('Clean', 'Suspicious', 'Malicious').</t>
        </is>
      </c>
      <c r="H74" s="13" t="inlineStr">
        <is>
          <t>Automated (Appium)</t>
        </is>
      </c>
      <c r="I74" s="13" t="inlineStr">
        <is>
          <t>P1</t>
        </is>
      </c>
      <c r="J74" s="13" t="inlineStr">
        <is>
          <t>High</t>
        </is>
      </c>
      <c r="K74" s="15" t="inlineStr">
        <is>
          <t>AUTOMATED</t>
        </is>
      </c>
    </row>
    <row r="75" ht="20" customHeight="1">
      <c r="A75" s="16" t="inlineStr">
        <is>
          <t>TC_APP_074</t>
        </is>
      </c>
      <c r="B75" s="17" t="inlineStr">
        <is>
          <t>Intel Lookup &amp; Threat Score Gauge</t>
        </is>
      </c>
      <c r="C75" s="17" t="inlineStr">
        <is>
          <t>Verify IP Threat Intel query for IP '185.220.101.15'</t>
        </is>
      </c>
      <c r="D75" s="17" t="inlineStr">
        <is>
          <t>Intel Lookup tab active (~tab_intel_lookup)</t>
        </is>
      </c>
      <c r="E75" s="17" t="inlineStr">
        <is>
          <t>1. Type '185.220.101.15' into ~input_ip_intel_lookup
2. Tap ~btn_execute_intel_search
3. Read threat score gauge &amp; status badge</t>
        </is>
      </c>
      <c r="F75" s="17" t="inlineStr">
        <is>
          <t>Target_IP=185.220.101.15</t>
        </is>
      </c>
      <c r="G75" s="17" t="inlineStr">
        <is>
          <t>Threat score gauge updates instantly with score (0-100) and status ('Clean', 'Suspicious', 'Malicious').</t>
        </is>
      </c>
      <c r="H75" s="16" t="inlineStr">
        <is>
          <t>Automated (Appium)</t>
        </is>
      </c>
      <c r="I75" s="16" t="inlineStr">
        <is>
          <t>P1</t>
        </is>
      </c>
      <c r="J75" s="16" t="inlineStr">
        <is>
          <t>High</t>
        </is>
      </c>
      <c r="K75" s="15" t="inlineStr">
        <is>
          <t>AUTOMATED</t>
        </is>
      </c>
    </row>
    <row r="76" ht="20" customHeight="1">
      <c r="A76" s="13" t="inlineStr">
        <is>
          <t>TC_APP_075</t>
        </is>
      </c>
      <c r="B76" s="14" t="inlineStr">
        <is>
          <t>Intel Lookup &amp; Threat Score Gauge</t>
        </is>
      </c>
      <c r="C76" s="14" t="inlineStr">
        <is>
          <t>Verify IP Threat Intel query for IP '185.220.101.33'</t>
        </is>
      </c>
      <c r="D76" s="14" t="inlineStr">
        <is>
          <t>Intel Lookup tab active (~tab_intel_lookup)</t>
        </is>
      </c>
      <c r="E76" s="14" t="inlineStr">
        <is>
          <t>1. Type '185.220.101.33' into ~input_ip_intel_lookup
2. Tap ~btn_execute_intel_search
3. Read threat score gauge &amp; status badge</t>
        </is>
      </c>
      <c r="F76" s="14" t="inlineStr">
        <is>
          <t>Target_IP=185.220.101.33</t>
        </is>
      </c>
      <c r="G76" s="14" t="inlineStr">
        <is>
          <t>Threat score gauge updates instantly with score (0-100) and status ('Clean', 'Suspicious', 'Malicious').</t>
        </is>
      </c>
      <c r="H76" s="13" t="inlineStr">
        <is>
          <t>Automated (Appium)</t>
        </is>
      </c>
      <c r="I76" s="13" t="inlineStr">
        <is>
          <t>P1</t>
        </is>
      </c>
      <c r="J76" s="13" t="inlineStr">
        <is>
          <t>High</t>
        </is>
      </c>
      <c r="K76" s="15" t="inlineStr">
        <is>
          <t>AUTOMATED</t>
        </is>
      </c>
    </row>
    <row r="77" ht="20" customHeight="1">
      <c r="A77" s="16" t="inlineStr">
        <is>
          <t>TC_APP_076</t>
        </is>
      </c>
      <c r="B77" s="17" t="inlineStr">
        <is>
          <t>Stadium Zone Switcher &amp; Filters</t>
        </is>
      </c>
      <c r="C77" s="17" t="inlineStr">
        <is>
          <t>Verify stadium zone filter selection to 'Zone 1 (Main Stadium)' (Test #1)</t>
        </is>
      </c>
      <c r="D77" s="17" t="inlineStr">
        <is>
          <t>Dashboard screen open</t>
        </is>
      </c>
      <c r="E77" s="17" t="inlineStr">
        <is>
          <t>1. Tap zone dropdown picker (~picker_stadium_zone)
2. Select zone item 'Zone 1 (Main Stadium)'
3. Verify telemetry data re-filters</t>
        </is>
      </c>
      <c r="F77" s="17" t="inlineStr">
        <is>
          <t>Selected_Zone=Zone 1 (Main Stadium)</t>
        </is>
      </c>
      <c r="G77" s="17" t="inlineStr">
        <is>
          <t>App filters live traffic and threat alerts exclusively for the selected stadium zone.</t>
        </is>
      </c>
      <c r="H77" s="16" t="inlineStr">
        <is>
          <t>Automated (Appium)</t>
        </is>
      </c>
      <c r="I77" s="16" t="inlineStr">
        <is>
          <t>P2</t>
        </is>
      </c>
      <c r="J77" s="16" t="inlineStr">
        <is>
          <t>Medium</t>
        </is>
      </c>
      <c r="K77" s="15" t="inlineStr">
        <is>
          <t>AUTOMATED</t>
        </is>
      </c>
    </row>
    <row r="78" ht="20" customHeight="1">
      <c r="A78" s="13" t="inlineStr">
        <is>
          <t>TC_APP_077</t>
        </is>
      </c>
      <c r="B78" s="14" t="inlineStr">
        <is>
          <t>Stadium Zone Switcher &amp; Filters</t>
        </is>
      </c>
      <c r="C78" s="14" t="inlineStr">
        <is>
          <t>Verify stadium zone filter selection to 'Zone 2 (Concourse)' (Test #2)</t>
        </is>
      </c>
      <c r="D78" s="14" t="inlineStr">
        <is>
          <t>Dashboard screen open</t>
        </is>
      </c>
      <c r="E78" s="14" t="inlineStr">
        <is>
          <t>1. Tap zone dropdown picker (~picker_stadium_zone)
2. Select zone item 'Zone 2 (Concourse)'
3. Verify telemetry data re-filters</t>
        </is>
      </c>
      <c r="F78" s="14" t="inlineStr">
        <is>
          <t>Selected_Zone=Zone 2 (Concourse)</t>
        </is>
      </c>
      <c r="G78" s="14" t="inlineStr">
        <is>
          <t>App filters live traffic and threat alerts exclusively for the selected stadium zone.</t>
        </is>
      </c>
      <c r="H78" s="13" t="inlineStr">
        <is>
          <t>Automated (Appium)</t>
        </is>
      </c>
      <c r="I78" s="13" t="inlineStr">
        <is>
          <t>P2</t>
        </is>
      </c>
      <c r="J78" s="13" t="inlineStr">
        <is>
          <t>Medium</t>
        </is>
      </c>
      <c r="K78" s="15" t="inlineStr">
        <is>
          <t>AUTOMATED</t>
        </is>
      </c>
    </row>
    <row r="79" ht="20" customHeight="1">
      <c r="A79" s="16" t="inlineStr">
        <is>
          <t>TC_APP_078</t>
        </is>
      </c>
      <c r="B79" s="17" t="inlineStr">
        <is>
          <t>Stadium Zone Switcher &amp; Filters</t>
        </is>
      </c>
      <c r="C79" s="17" t="inlineStr">
        <is>
          <t>Verify stadium zone filter selection to 'Zone 3 (VIP Lounge)' (Test #3)</t>
        </is>
      </c>
      <c r="D79" s="17" t="inlineStr">
        <is>
          <t>Dashboard screen open</t>
        </is>
      </c>
      <c r="E79" s="17" t="inlineStr">
        <is>
          <t>1. Tap zone dropdown picker (~picker_stadium_zone)
2. Select zone item 'Zone 3 (VIP Lounge)'
3. Verify telemetry data re-filters</t>
        </is>
      </c>
      <c r="F79" s="17" t="inlineStr">
        <is>
          <t>Selected_Zone=Zone 3 (VIP Lounge)</t>
        </is>
      </c>
      <c r="G79" s="17" t="inlineStr">
        <is>
          <t>App filters live traffic and threat alerts exclusively for the selected stadium zone.</t>
        </is>
      </c>
      <c r="H79" s="16" t="inlineStr">
        <is>
          <t>Automated (Appium)</t>
        </is>
      </c>
      <c r="I79" s="16" t="inlineStr">
        <is>
          <t>P2</t>
        </is>
      </c>
      <c r="J79" s="16" t="inlineStr">
        <is>
          <t>Medium</t>
        </is>
      </c>
      <c r="K79" s="15" t="inlineStr">
        <is>
          <t>AUTOMATED</t>
        </is>
      </c>
    </row>
    <row r="80" ht="20" customHeight="1">
      <c r="A80" s="13" t="inlineStr">
        <is>
          <t>TC_APP_079</t>
        </is>
      </c>
      <c r="B80" s="14" t="inlineStr">
        <is>
          <t>Stadium Zone Switcher &amp; Filters</t>
        </is>
      </c>
      <c r="C80" s="14" t="inlineStr">
        <is>
          <t>Verify stadium zone filter selection to 'Zone 4 (Press Box)' (Test #4)</t>
        </is>
      </c>
      <c r="D80" s="14" t="inlineStr">
        <is>
          <t>Dashboard screen open</t>
        </is>
      </c>
      <c r="E80" s="14" t="inlineStr">
        <is>
          <t>1. Tap zone dropdown picker (~picker_stadium_zone)
2. Select zone item 'Zone 4 (Press Box)'
3. Verify telemetry data re-filters</t>
        </is>
      </c>
      <c r="F80" s="14" t="inlineStr">
        <is>
          <t>Selected_Zone=Zone 4 (Press Box)</t>
        </is>
      </c>
      <c r="G80" s="14" t="inlineStr">
        <is>
          <t>App filters live traffic and threat alerts exclusively for the selected stadium zone.</t>
        </is>
      </c>
      <c r="H80" s="13" t="inlineStr">
        <is>
          <t>Automated (Appium)</t>
        </is>
      </c>
      <c r="I80" s="13" t="inlineStr">
        <is>
          <t>P2</t>
        </is>
      </c>
      <c r="J80" s="13" t="inlineStr">
        <is>
          <t>Medium</t>
        </is>
      </c>
      <c r="K80" s="15" t="inlineStr">
        <is>
          <t>AUTOMATED</t>
        </is>
      </c>
    </row>
    <row r="81" ht="20" customHeight="1">
      <c r="A81" s="16" t="inlineStr">
        <is>
          <t>TC_APP_080</t>
        </is>
      </c>
      <c r="B81" s="17" t="inlineStr">
        <is>
          <t>Stadium Zone Switcher &amp; Filters</t>
        </is>
      </c>
      <c r="C81" s="17" t="inlineStr">
        <is>
          <t>Verify stadium zone filter selection to 'All Zones' (Test #5)</t>
        </is>
      </c>
      <c r="D81" s="17" t="inlineStr">
        <is>
          <t>Dashboard screen open</t>
        </is>
      </c>
      <c r="E81" s="17" t="inlineStr">
        <is>
          <t>1. Tap zone dropdown picker (~picker_stadium_zone)
2. Select zone item 'All Zones'
3. Verify telemetry data re-filters</t>
        </is>
      </c>
      <c r="F81" s="17" t="inlineStr">
        <is>
          <t>Selected_Zone=All Zones</t>
        </is>
      </c>
      <c r="G81" s="17" t="inlineStr">
        <is>
          <t>App filters live traffic and threat alerts exclusively for the selected stadium zone.</t>
        </is>
      </c>
      <c r="H81" s="16" t="inlineStr">
        <is>
          <t>Automated (Appium)</t>
        </is>
      </c>
      <c r="I81" s="16" t="inlineStr">
        <is>
          <t>P2</t>
        </is>
      </c>
      <c r="J81" s="16" t="inlineStr">
        <is>
          <t>Medium</t>
        </is>
      </c>
      <c r="K81" s="15" t="inlineStr">
        <is>
          <t>AUTOMATED</t>
        </is>
      </c>
    </row>
    <row r="82" ht="20" customHeight="1">
      <c r="A82" s="13" t="inlineStr">
        <is>
          <t>TC_APP_081</t>
        </is>
      </c>
      <c r="B82" s="14" t="inlineStr">
        <is>
          <t>Stadium Zone Switcher &amp; Filters</t>
        </is>
      </c>
      <c r="C82" s="14" t="inlineStr">
        <is>
          <t>Verify stadium zone filter selection to 'Zone 1 (Main Stadium)' (Test #6)</t>
        </is>
      </c>
      <c r="D82" s="14" t="inlineStr">
        <is>
          <t>Dashboard screen open</t>
        </is>
      </c>
      <c r="E82" s="14" t="inlineStr">
        <is>
          <t>1. Tap zone dropdown picker (~picker_stadium_zone)
2. Select zone item 'Zone 1 (Main Stadium)'
3. Verify telemetry data re-filters</t>
        </is>
      </c>
      <c r="F82" s="14" t="inlineStr">
        <is>
          <t>Selected_Zone=Zone 1 (Main Stadium)</t>
        </is>
      </c>
      <c r="G82" s="14" t="inlineStr">
        <is>
          <t>App filters live traffic and threat alerts exclusively for the selected stadium zone.</t>
        </is>
      </c>
      <c r="H82" s="13" t="inlineStr">
        <is>
          <t>Automated (Appium)</t>
        </is>
      </c>
      <c r="I82" s="13" t="inlineStr">
        <is>
          <t>P2</t>
        </is>
      </c>
      <c r="J82" s="13" t="inlineStr">
        <is>
          <t>Medium</t>
        </is>
      </c>
      <c r="K82" s="15" t="inlineStr">
        <is>
          <t>AUTOMATED</t>
        </is>
      </c>
    </row>
    <row r="83" ht="20" customHeight="1">
      <c r="A83" s="16" t="inlineStr">
        <is>
          <t>TC_APP_082</t>
        </is>
      </c>
      <c r="B83" s="17" t="inlineStr">
        <is>
          <t>Stadium Zone Switcher &amp; Filters</t>
        </is>
      </c>
      <c r="C83" s="17" t="inlineStr">
        <is>
          <t>Verify stadium zone filter selection to 'Zone 2 (Concourse)' (Test #7)</t>
        </is>
      </c>
      <c r="D83" s="17" t="inlineStr">
        <is>
          <t>Dashboard screen open</t>
        </is>
      </c>
      <c r="E83" s="17" t="inlineStr">
        <is>
          <t>1. Tap zone dropdown picker (~picker_stadium_zone)
2. Select zone item 'Zone 2 (Concourse)'
3. Verify telemetry data re-filters</t>
        </is>
      </c>
      <c r="F83" s="17" t="inlineStr">
        <is>
          <t>Selected_Zone=Zone 2 (Concourse)</t>
        </is>
      </c>
      <c r="G83" s="17" t="inlineStr">
        <is>
          <t>App filters live traffic and threat alerts exclusively for the selected stadium zone.</t>
        </is>
      </c>
      <c r="H83" s="16" t="inlineStr">
        <is>
          <t>Automated (Appium)</t>
        </is>
      </c>
      <c r="I83" s="16" t="inlineStr">
        <is>
          <t>P2</t>
        </is>
      </c>
      <c r="J83" s="16" t="inlineStr">
        <is>
          <t>Medium</t>
        </is>
      </c>
      <c r="K83" s="15" t="inlineStr">
        <is>
          <t>AUTOMATED</t>
        </is>
      </c>
    </row>
    <row r="84" ht="20" customHeight="1">
      <c r="A84" s="13" t="inlineStr">
        <is>
          <t>TC_APP_083</t>
        </is>
      </c>
      <c r="B84" s="14" t="inlineStr">
        <is>
          <t>Stadium Zone Switcher &amp; Filters</t>
        </is>
      </c>
      <c r="C84" s="14" t="inlineStr">
        <is>
          <t>Verify stadium zone filter selection to 'Zone 3 (VIP Lounge)' (Test #8)</t>
        </is>
      </c>
      <c r="D84" s="14" t="inlineStr">
        <is>
          <t>Dashboard screen open</t>
        </is>
      </c>
      <c r="E84" s="14" t="inlineStr">
        <is>
          <t>1. Tap zone dropdown picker (~picker_stadium_zone)
2. Select zone item 'Zone 3 (VIP Lounge)'
3. Verify telemetry data re-filters</t>
        </is>
      </c>
      <c r="F84" s="14" t="inlineStr">
        <is>
          <t>Selected_Zone=Zone 3 (VIP Lounge)</t>
        </is>
      </c>
      <c r="G84" s="14" t="inlineStr">
        <is>
          <t>App filters live traffic and threat alerts exclusively for the selected stadium zone.</t>
        </is>
      </c>
      <c r="H84" s="13" t="inlineStr">
        <is>
          <t>Automated (Appium)</t>
        </is>
      </c>
      <c r="I84" s="13" t="inlineStr">
        <is>
          <t>P2</t>
        </is>
      </c>
      <c r="J84" s="13" t="inlineStr">
        <is>
          <t>Medium</t>
        </is>
      </c>
      <c r="K84" s="15" t="inlineStr">
        <is>
          <t>AUTOMATED</t>
        </is>
      </c>
    </row>
    <row r="85" ht="20" customHeight="1">
      <c r="A85" s="16" t="inlineStr">
        <is>
          <t>TC_APP_084</t>
        </is>
      </c>
      <c r="B85" s="17" t="inlineStr">
        <is>
          <t>Stadium Zone Switcher &amp; Filters</t>
        </is>
      </c>
      <c r="C85" s="17" t="inlineStr">
        <is>
          <t>Verify stadium zone filter selection to 'Zone 4 (Press Box)' (Test #9)</t>
        </is>
      </c>
      <c r="D85" s="17" t="inlineStr">
        <is>
          <t>Dashboard screen open</t>
        </is>
      </c>
      <c r="E85" s="17" t="inlineStr">
        <is>
          <t>1. Tap zone dropdown picker (~picker_stadium_zone)
2. Select zone item 'Zone 4 (Press Box)'
3. Verify telemetry data re-filters</t>
        </is>
      </c>
      <c r="F85" s="17" t="inlineStr">
        <is>
          <t>Selected_Zone=Zone 4 (Press Box)</t>
        </is>
      </c>
      <c r="G85" s="17" t="inlineStr">
        <is>
          <t>App filters live traffic and threat alerts exclusively for the selected stadium zone.</t>
        </is>
      </c>
      <c r="H85" s="16" t="inlineStr">
        <is>
          <t>Automated (Appium)</t>
        </is>
      </c>
      <c r="I85" s="16" t="inlineStr">
        <is>
          <t>P2</t>
        </is>
      </c>
      <c r="J85" s="16" t="inlineStr">
        <is>
          <t>Medium</t>
        </is>
      </c>
      <c r="K85" s="15" t="inlineStr">
        <is>
          <t>AUTOMATED</t>
        </is>
      </c>
    </row>
    <row r="86" ht="20" customHeight="1">
      <c r="A86" s="13" t="inlineStr">
        <is>
          <t>TC_APP_085</t>
        </is>
      </c>
      <c r="B86" s="14" t="inlineStr">
        <is>
          <t>Stadium Zone Switcher &amp; Filters</t>
        </is>
      </c>
      <c r="C86" s="14" t="inlineStr">
        <is>
          <t>Verify stadium zone filter selection to 'All Zones' (Test #10)</t>
        </is>
      </c>
      <c r="D86" s="14" t="inlineStr">
        <is>
          <t>Dashboard screen open</t>
        </is>
      </c>
      <c r="E86" s="14" t="inlineStr">
        <is>
          <t>1. Tap zone dropdown picker (~picker_stadium_zone)
2. Select zone item 'All Zones'
3. Verify telemetry data re-filters</t>
        </is>
      </c>
      <c r="F86" s="14" t="inlineStr">
        <is>
          <t>Selected_Zone=All Zones</t>
        </is>
      </c>
      <c r="G86" s="14" t="inlineStr">
        <is>
          <t>App filters live traffic and threat alerts exclusively for the selected stadium zone.</t>
        </is>
      </c>
      <c r="H86" s="13" t="inlineStr">
        <is>
          <t>Automated (Appium)</t>
        </is>
      </c>
      <c r="I86" s="13" t="inlineStr">
        <is>
          <t>P2</t>
        </is>
      </c>
      <c r="J86" s="13" t="inlineStr">
        <is>
          <t>Medium</t>
        </is>
      </c>
      <c r="K86" s="15" t="inlineStr">
        <is>
          <t>AUTOMATED</t>
        </is>
      </c>
    </row>
    <row r="87" ht="20" customHeight="1">
      <c r="A87" s="16" t="inlineStr">
        <is>
          <t>TC_APP_086</t>
        </is>
      </c>
      <c r="B87" s="17" t="inlineStr">
        <is>
          <t>Stadium Zone Switcher &amp; Filters</t>
        </is>
      </c>
      <c r="C87" s="17" t="inlineStr">
        <is>
          <t>Verify stadium zone filter selection to 'Zone 1 (Main Stadium)' (Test #11)</t>
        </is>
      </c>
      <c r="D87" s="17" t="inlineStr">
        <is>
          <t>Dashboard screen open</t>
        </is>
      </c>
      <c r="E87" s="17" t="inlineStr">
        <is>
          <t>1. Tap zone dropdown picker (~picker_stadium_zone)
2. Select zone item 'Zone 1 (Main Stadium)'
3. Verify telemetry data re-filters</t>
        </is>
      </c>
      <c r="F87" s="17" t="inlineStr">
        <is>
          <t>Selected_Zone=Zone 1 (Main Stadium)</t>
        </is>
      </c>
      <c r="G87" s="17" t="inlineStr">
        <is>
          <t>App filters live traffic and threat alerts exclusively for the selected stadium zone.</t>
        </is>
      </c>
      <c r="H87" s="16" t="inlineStr">
        <is>
          <t>Automated (Appium)</t>
        </is>
      </c>
      <c r="I87" s="16" t="inlineStr">
        <is>
          <t>P2</t>
        </is>
      </c>
      <c r="J87" s="16" t="inlineStr">
        <is>
          <t>Medium</t>
        </is>
      </c>
      <c r="K87" s="15" t="inlineStr">
        <is>
          <t>AUTOMATED</t>
        </is>
      </c>
    </row>
    <row r="88" ht="20" customHeight="1">
      <c r="A88" s="13" t="inlineStr">
        <is>
          <t>TC_APP_087</t>
        </is>
      </c>
      <c r="B88" s="14" t="inlineStr">
        <is>
          <t>Stadium Zone Switcher &amp; Filters</t>
        </is>
      </c>
      <c r="C88" s="14" t="inlineStr">
        <is>
          <t>Verify stadium zone filter selection to 'Zone 2 (Concourse)' (Test #12)</t>
        </is>
      </c>
      <c r="D88" s="14" t="inlineStr">
        <is>
          <t>Dashboard screen open</t>
        </is>
      </c>
      <c r="E88" s="14" t="inlineStr">
        <is>
          <t>1. Tap zone dropdown picker (~picker_stadium_zone)
2. Select zone item 'Zone 2 (Concourse)'
3. Verify telemetry data re-filters</t>
        </is>
      </c>
      <c r="F88" s="14" t="inlineStr">
        <is>
          <t>Selected_Zone=Zone 2 (Concourse)</t>
        </is>
      </c>
      <c r="G88" s="14" t="inlineStr">
        <is>
          <t>App filters live traffic and threat alerts exclusively for the selected stadium zone.</t>
        </is>
      </c>
      <c r="H88" s="13" t="inlineStr">
        <is>
          <t>Automated (Appium)</t>
        </is>
      </c>
      <c r="I88" s="13" t="inlineStr">
        <is>
          <t>P2</t>
        </is>
      </c>
      <c r="J88" s="13" t="inlineStr">
        <is>
          <t>Medium</t>
        </is>
      </c>
      <c r="K88" s="15" t="inlineStr">
        <is>
          <t>AUTOMATED</t>
        </is>
      </c>
    </row>
    <row r="89" ht="20" customHeight="1">
      <c r="A89" s="16" t="inlineStr">
        <is>
          <t>TC_APP_088</t>
        </is>
      </c>
      <c r="B89" s="17" t="inlineStr">
        <is>
          <t>Stadium Zone Switcher &amp; Filters</t>
        </is>
      </c>
      <c r="C89" s="17" t="inlineStr">
        <is>
          <t>Verify stadium zone filter selection to 'Zone 3 (VIP Lounge)' (Test #13)</t>
        </is>
      </c>
      <c r="D89" s="17" t="inlineStr">
        <is>
          <t>Dashboard screen open</t>
        </is>
      </c>
      <c r="E89" s="17" t="inlineStr">
        <is>
          <t>1. Tap zone dropdown picker (~picker_stadium_zone)
2. Select zone item 'Zone 3 (VIP Lounge)'
3. Verify telemetry data re-filters</t>
        </is>
      </c>
      <c r="F89" s="17" t="inlineStr">
        <is>
          <t>Selected_Zone=Zone 3 (VIP Lounge)</t>
        </is>
      </c>
      <c r="G89" s="17" t="inlineStr">
        <is>
          <t>App filters live traffic and threat alerts exclusively for the selected stadium zone.</t>
        </is>
      </c>
      <c r="H89" s="16" t="inlineStr">
        <is>
          <t>Automated (Appium)</t>
        </is>
      </c>
      <c r="I89" s="16" t="inlineStr">
        <is>
          <t>P2</t>
        </is>
      </c>
      <c r="J89" s="16" t="inlineStr">
        <is>
          <t>Medium</t>
        </is>
      </c>
      <c r="K89" s="15" t="inlineStr">
        <is>
          <t>AUTOMATED</t>
        </is>
      </c>
    </row>
    <row r="90" ht="20" customHeight="1">
      <c r="A90" s="13" t="inlineStr">
        <is>
          <t>TC_APP_089</t>
        </is>
      </c>
      <c r="B90" s="14" t="inlineStr">
        <is>
          <t>Stadium Zone Switcher &amp; Filters</t>
        </is>
      </c>
      <c r="C90" s="14" t="inlineStr">
        <is>
          <t>Verify stadium zone filter selection to 'Zone 4 (Press Box)' (Test #14)</t>
        </is>
      </c>
      <c r="D90" s="14" t="inlineStr">
        <is>
          <t>Dashboard screen open</t>
        </is>
      </c>
      <c r="E90" s="14" t="inlineStr">
        <is>
          <t>1. Tap zone dropdown picker (~picker_stadium_zone)
2. Select zone item 'Zone 4 (Press Box)'
3. Verify telemetry data re-filters</t>
        </is>
      </c>
      <c r="F90" s="14" t="inlineStr">
        <is>
          <t>Selected_Zone=Zone 4 (Press Box)</t>
        </is>
      </c>
      <c r="G90" s="14" t="inlineStr">
        <is>
          <t>App filters live traffic and threat alerts exclusively for the selected stadium zone.</t>
        </is>
      </c>
      <c r="H90" s="13" t="inlineStr">
        <is>
          <t>Automated (Appium)</t>
        </is>
      </c>
      <c r="I90" s="13" t="inlineStr">
        <is>
          <t>P2</t>
        </is>
      </c>
      <c r="J90" s="13" t="inlineStr">
        <is>
          <t>Medium</t>
        </is>
      </c>
      <c r="K90" s="15" t="inlineStr">
        <is>
          <t>AUTOMATED</t>
        </is>
      </c>
    </row>
    <row r="91" ht="20" customHeight="1">
      <c r="A91" s="16" t="inlineStr">
        <is>
          <t>TC_APP_090</t>
        </is>
      </c>
      <c r="B91" s="17" t="inlineStr">
        <is>
          <t>Stadium Zone Switcher &amp; Filters</t>
        </is>
      </c>
      <c r="C91" s="17" t="inlineStr">
        <is>
          <t>Verify stadium zone filter selection to 'All Zones' (Test #15)</t>
        </is>
      </c>
      <c r="D91" s="17" t="inlineStr">
        <is>
          <t>Dashboard screen open</t>
        </is>
      </c>
      <c r="E91" s="17" t="inlineStr">
        <is>
          <t>1. Tap zone dropdown picker (~picker_stadium_zone)
2. Select zone item 'All Zones'
3. Verify telemetry data re-filters</t>
        </is>
      </c>
      <c r="F91" s="17" t="inlineStr">
        <is>
          <t>Selected_Zone=All Zones</t>
        </is>
      </c>
      <c r="G91" s="17" t="inlineStr">
        <is>
          <t>App filters live traffic and threat alerts exclusively for the selected stadium zone.</t>
        </is>
      </c>
      <c r="H91" s="16" t="inlineStr">
        <is>
          <t>Automated (Appium)</t>
        </is>
      </c>
      <c r="I91" s="16" t="inlineStr">
        <is>
          <t>P2</t>
        </is>
      </c>
      <c r="J91" s="16" t="inlineStr">
        <is>
          <t>Medium</t>
        </is>
      </c>
      <c r="K91" s="15" t="inlineStr">
        <is>
          <t>AUTOMATED</t>
        </is>
      </c>
    </row>
    <row r="92" ht="20" customHeight="1">
      <c r="A92" s="13" t="inlineStr">
        <is>
          <t>TC_APP_091</t>
        </is>
      </c>
      <c r="B92" s="14" t="inlineStr">
        <is>
          <t>Stadium Zone Switcher &amp; Filters</t>
        </is>
      </c>
      <c r="C92" s="14" t="inlineStr">
        <is>
          <t>Verify stadium zone filter selection to 'Zone 1 (Main Stadium)' (Test #16)</t>
        </is>
      </c>
      <c r="D92" s="14" t="inlineStr">
        <is>
          <t>Dashboard screen open</t>
        </is>
      </c>
      <c r="E92" s="14" t="inlineStr">
        <is>
          <t>1. Tap zone dropdown picker (~picker_stadium_zone)
2. Select zone item 'Zone 1 (Main Stadium)'
3. Verify telemetry data re-filters</t>
        </is>
      </c>
      <c r="F92" s="14" t="inlineStr">
        <is>
          <t>Selected_Zone=Zone 1 (Main Stadium)</t>
        </is>
      </c>
      <c r="G92" s="14" t="inlineStr">
        <is>
          <t>App filters live traffic and threat alerts exclusively for the selected stadium zone.</t>
        </is>
      </c>
      <c r="H92" s="13" t="inlineStr">
        <is>
          <t>Automated (Appium)</t>
        </is>
      </c>
      <c r="I92" s="13" t="inlineStr">
        <is>
          <t>P2</t>
        </is>
      </c>
      <c r="J92" s="13" t="inlineStr">
        <is>
          <t>Medium</t>
        </is>
      </c>
      <c r="K92" s="15" t="inlineStr">
        <is>
          <t>AUTOMATED</t>
        </is>
      </c>
    </row>
    <row r="93" ht="20" customHeight="1">
      <c r="A93" s="16" t="inlineStr">
        <is>
          <t>TC_APP_092</t>
        </is>
      </c>
      <c r="B93" s="17" t="inlineStr">
        <is>
          <t>Stadium Zone Switcher &amp; Filters</t>
        </is>
      </c>
      <c r="C93" s="17" t="inlineStr">
        <is>
          <t>Verify stadium zone filter selection to 'Zone 2 (Concourse)' (Test #17)</t>
        </is>
      </c>
      <c r="D93" s="17" t="inlineStr">
        <is>
          <t>Dashboard screen open</t>
        </is>
      </c>
      <c r="E93" s="17" t="inlineStr">
        <is>
          <t>1. Tap zone dropdown picker (~picker_stadium_zone)
2. Select zone item 'Zone 2 (Concourse)'
3. Verify telemetry data re-filters</t>
        </is>
      </c>
      <c r="F93" s="17" t="inlineStr">
        <is>
          <t>Selected_Zone=Zone 2 (Concourse)</t>
        </is>
      </c>
      <c r="G93" s="17" t="inlineStr">
        <is>
          <t>App filters live traffic and threat alerts exclusively for the selected stadium zone.</t>
        </is>
      </c>
      <c r="H93" s="16" t="inlineStr">
        <is>
          <t>Automated (Appium)</t>
        </is>
      </c>
      <c r="I93" s="16" t="inlineStr">
        <is>
          <t>P2</t>
        </is>
      </c>
      <c r="J93" s="16" t="inlineStr">
        <is>
          <t>Medium</t>
        </is>
      </c>
      <c r="K93" s="15" t="inlineStr">
        <is>
          <t>AUTOMATED</t>
        </is>
      </c>
    </row>
    <row r="94" ht="20" customHeight="1">
      <c r="A94" s="13" t="inlineStr">
        <is>
          <t>TC_APP_093</t>
        </is>
      </c>
      <c r="B94" s="14" t="inlineStr">
        <is>
          <t>Stadium Zone Switcher &amp; Filters</t>
        </is>
      </c>
      <c r="C94" s="14" t="inlineStr">
        <is>
          <t>Verify stadium zone filter selection to 'Zone 3 (VIP Lounge)' (Test #18)</t>
        </is>
      </c>
      <c r="D94" s="14" t="inlineStr">
        <is>
          <t>Dashboard screen open</t>
        </is>
      </c>
      <c r="E94" s="14" t="inlineStr">
        <is>
          <t>1. Tap zone dropdown picker (~picker_stadium_zone)
2. Select zone item 'Zone 3 (VIP Lounge)'
3. Verify telemetry data re-filters</t>
        </is>
      </c>
      <c r="F94" s="14" t="inlineStr">
        <is>
          <t>Selected_Zone=Zone 3 (VIP Lounge)</t>
        </is>
      </c>
      <c r="G94" s="14" t="inlineStr">
        <is>
          <t>App filters live traffic and threat alerts exclusively for the selected stadium zone.</t>
        </is>
      </c>
      <c r="H94" s="13" t="inlineStr">
        <is>
          <t>Automated (Appium)</t>
        </is>
      </c>
      <c r="I94" s="13" t="inlineStr">
        <is>
          <t>P2</t>
        </is>
      </c>
      <c r="J94" s="13" t="inlineStr">
        <is>
          <t>Medium</t>
        </is>
      </c>
      <c r="K94" s="15" t="inlineStr">
        <is>
          <t>AUTOMATED</t>
        </is>
      </c>
    </row>
    <row r="95" ht="20" customHeight="1">
      <c r="A95" s="16" t="inlineStr">
        <is>
          <t>TC_APP_094</t>
        </is>
      </c>
      <c r="B95" s="17" t="inlineStr">
        <is>
          <t>Stadium Zone Switcher &amp; Filters</t>
        </is>
      </c>
      <c r="C95" s="17" t="inlineStr">
        <is>
          <t>Verify stadium zone filter selection to 'Zone 4 (Press Box)' (Test #19)</t>
        </is>
      </c>
      <c r="D95" s="17" t="inlineStr">
        <is>
          <t>Dashboard screen open</t>
        </is>
      </c>
      <c r="E95" s="17" t="inlineStr">
        <is>
          <t>1. Tap zone dropdown picker (~picker_stadium_zone)
2. Select zone item 'Zone 4 (Press Box)'
3. Verify telemetry data re-filters</t>
        </is>
      </c>
      <c r="F95" s="17" t="inlineStr">
        <is>
          <t>Selected_Zone=Zone 4 (Press Box)</t>
        </is>
      </c>
      <c r="G95" s="17" t="inlineStr">
        <is>
          <t>App filters live traffic and threat alerts exclusively for the selected stadium zone.</t>
        </is>
      </c>
      <c r="H95" s="16" t="inlineStr">
        <is>
          <t>Automated (Appium)</t>
        </is>
      </c>
      <c r="I95" s="16" t="inlineStr">
        <is>
          <t>P2</t>
        </is>
      </c>
      <c r="J95" s="16" t="inlineStr">
        <is>
          <t>Medium</t>
        </is>
      </c>
      <c r="K95" s="15" t="inlineStr">
        <is>
          <t>AUTOMATED</t>
        </is>
      </c>
    </row>
    <row r="96" ht="20" customHeight="1">
      <c r="A96" s="13" t="inlineStr">
        <is>
          <t>TC_APP_095</t>
        </is>
      </c>
      <c r="B96" s="14" t="inlineStr">
        <is>
          <t>Stadium Zone Switcher &amp; Filters</t>
        </is>
      </c>
      <c r="C96" s="14" t="inlineStr">
        <is>
          <t>Verify stadium zone filter selection to 'All Zones' (Test #20)</t>
        </is>
      </c>
      <c r="D96" s="14" t="inlineStr">
        <is>
          <t>Dashboard screen open</t>
        </is>
      </c>
      <c r="E96" s="14" t="inlineStr">
        <is>
          <t>1. Tap zone dropdown picker (~picker_stadium_zone)
2. Select zone item 'All Zones'
3. Verify telemetry data re-filters</t>
        </is>
      </c>
      <c r="F96" s="14" t="inlineStr">
        <is>
          <t>Selected_Zone=All Zones</t>
        </is>
      </c>
      <c r="G96" s="14" t="inlineStr">
        <is>
          <t>App filters live traffic and threat alerts exclusively for the selected stadium zone.</t>
        </is>
      </c>
      <c r="H96" s="13" t="inlineStr">
        <is>
          <t>Automated (Appium)</t>
        </is>
      </c>
      <c r="I96" s="13" t="inlineStr">
        <is>
          <t>P2</t>
        </is>
      </c>
      <c r="J96" s="13" t="inlineStr">
        <is>
          <t>Medium</t>
        </is>
      </c>
      <c r="K96" s="15" t="inlineStr">
        <is>
          <t>AUTOMATED</t>
        </is>
      </c>
    </row>
    <row r="97" ht="20" customHeight="1">
      <c r="A97" s="16" t="inlineStr">
        <is>
          <t>TC_APP_096</t>
        </is>
      </c>
      <c r="B97" s="17" t="inlineStr">
        <is>
          <t>Gesture Navigation &amp; Touch Controls</t>
        </is>
      </c>
      <c r="C97" s="17" t="inlineStr">
        <is>
          <t>Verify gesture interaction: Swipe Left on Alert Card</t>
        </is>
      </c>
      <c r="D97" s="17" t="inlineStr">
        <is>
          <t>Mobile app open on active screen</t>
        </is>
      </c>
      <c r="E97" s="17" t="inlineStr">
        <is>
          <t>1. Perform mobile touch action (Swipe Left on Alert Card)
2. Validate Appium touch action response</t>
        </is>
      </c>
      <c r="F97" s="17" t="inlineStr">
        <is>
          <t>Gesture=Swipe Left on Alert Card</t>
        </is>
      </c>
      <c r="G97" s="17" t="inlineStr">
        <is>
          <t>Appium touch gesture executes correctly. Dismisses alert item from stream.</t>
        </is>
      </c>
      <c r="H97" s="16" t="inlineStr">
        <is>
          <t>Automated (Appium)</t>
        </is>
      </c>
      <c r="I97" s="16" t="inlineStr">
        <is>
          <t>P2</t>
        </is>
      </c>
      <c r="J97" s="16" t="inlineStr">
        <is>
          <t>Medium</t>
        </is>
      </c>
      <c r="K97" s="15" t="inlineStr">
        <is>
          <t>PASSED</t>
        </is>
      </c>
    </row>
    <row r="98" ht="20" customHeight="1">
      <c r="A98" s="13" t="inlineStr">
        <is>
          <t>TC_APP_097</t>
        </is>
      </c>
      <c r="B98" s="14" t="inlineStr">
        <is>
          <t>Gesture Navigation &amp; Touch Controls</t>
        </is>
      </c>
      <c r="C98" s="14" t="inlineStr">
        <is>
          <t>Verify gesture interaction: Swipe Right on Telemetry Item</t>
        </is>
      </c>
      <c r="D98" s="14" t="inlineStr">
        <is>
          <t>Mobile app open on active screen</t>
        </is>
      </c>
      <c r="E98" s="14" t="inlineStr">
        <is>
          <t>1. Perform mobile touch action (Swipe Right on Telemetry Item)
2. Validate Appium touch action response</t>
        </is>
      </c>
      <c r="F98" s="14" t="inlineStr">
        <is>
          <t>Gesture=Swipe Right on Telemetry Item</t>
        </is>
      </c>
      <c r="G98" s="14" t="inlineStr">
        <is>
          <t>Appium touch gesture executes correctly. Flags item for manual review.</t>
        </is>
      </c>
      <c r="H98" s="13" t="inlineStr">
        <is>
          <t>Automated (Appium)</t>
        </is>
      </c>
      <c r="I98" s="13" t="inlineStr">
        <is>
          <t>P2</t>
        </is>
      </c>
      <c r="J98" s="13" t="inlineStr">
        <is>
          <t>Medium</t>
        </is>
      </c>
      <c r="K98" s="15" t="inlineStr">
        <is>
          <t>PASSED</t>
        </is>
      </c>
    </row>
    <row r="99" ht="20" customHeight="1">
      <c r="A99" s="16" t="inlineStr">
        <is>
          <t>TC_APP_098</t>
        </is>
      </c>
      <c r="B99" s="17" t="inlineStr">
        <is>
          <t>Gesture Navigation &amp; Touch Controls</t>
        </is>
      </c>
      <c r="C99" s="17" t="inlineStr">
        <is>
          <t>Verify gesture interaction: Pinch-to-Zoom on Traffic Graph</t>
        </is>
      </c>
      <c r="D99" s="17" t="inlineStr">
        <is>
          <t>Mobile app open on active screen</t>
        </is>
      </c>
      <c r="E99" s="17" t="inlineStr">
        <is>
          <t>1. Perform mobile touch action (Pinch-to-Zoom on Traffic Graph)
2. Validate Appium touch action response</t>
        </is>
      </c>
      <c r="F99" s="17" t="inlineStr">
        <is>
          <t>Gesture=Pinch-to-Zoom on Traffic Graph</t>
        </is>
      </c>
      <c r="G99" s="17" t="inlineStr">
        <is>
          <t>Appium touch gesture executes correctly. Zooms in timeline chart scale.</t>
        </is>
      </c>
      <c r="H99" s="16" t="inlineStr">
        <is>
          <t>Automated (Appium)</t>
        </is>
      </c>
      <c r="I99" s="16" t="inlineStr">
        <is>
          <t>P2</t>
        </is>
      </c>
      <c r="J99" s="16" t="inlineStr">
        <is>
          <t>Medium</t>
        </is>
      </c>
      <c r="K99" s="15" t="inlineStr">
        <is>
          <t>PASSED</t>
        </is>
      </c>
    </row>
    <row r="100" ht="20" customHeight="1">
      <c r="A100" s="13" t="inlineStr">
        <is>
          <t>TC_APP_099</t>
        </is>
      </c>
      <c r="B100" s="14" t="inlineStr">
        <is>
          <t>Gesture Navigation &amp; Touch Controls</t>
        </is>
      </c>
      <c r="C100" s="14" t="inlineStr">
        <is>
          <t>Verify gesture interaction: Pinch-Out on Traffic Graph</t>
        </is>
      </c>
      <c r="D100" s="14" t="inlineStr">
        <is>
          <t>Mobile app open on active screen</t>
        </is>
      </c>
      <c r="E100" s="14" t="inlineStr">
        <is>
          <t>1. Perform mobile touch action (Pinch-Out on Traffic Graph)
2. Validate Appium touch action response</t>
        </is>
      </c>
      <c r="F100" s="14" t="inlineStr">
        <is>
          <t>Gesture=Pinch-Out on Traffic Graph</t>
        </is>
      </c>
      <c r="G100" s="14" t="inlineStr">
        <is>
          <t>Appium touch gesture executes correctly. Resets timeline chart view to standard scale.</t>
        </is>
      </c>
      <c r="H100" s="13" t="inlineStr">
        <is>
          <t>Automated (Appium)</t>
        </is>
      </c>
      <c r="I100" s="13" t="inlineStr">
        <is>
          <t>P2</t>
        </is>
      </c>
      <c r="J100" s="13" t="inlineStr">
        <is>
          <t>Medium</t>
        </is>
      </c>
      <c r="K100" s="15" t="inlineStr">
        <is>
          <t>PASSED</t>
        </is>
      </c>
    </row>
    <row r="101" ht="20" customHeight="1">
      <c r="A101" s="16" t="inlineStr">
        <is>
          <t>TC_APP_100</t>
        </is>
      </c>
      <c r="B101" s="17" t="inlineStr">
        <is>
          <t>Gesture Navigation &amp; Touch Controls</t>
        </is>
      </c>
      <c r="C101" s="17" t="inlineStr">
        <is>
          <t>Verify gesture interaction: Touch &amp; Hold (Long Press) on Log Entry</t>
        </is>
      </c>
      <c r="D101" s="17" t="inlineStr">
        <is>
          <t>Mobile app open on active screen</t>
        </is>
      </c>
      <c r="E101" s="17" t="inlineStr">
        <is>
          <t>1. Perform mobile touch action (Touch &amp; Hold (Long Press) on Log Entry)
2. Validate Appium touch action response</t>
        </is>
      </c>
      <c r="F101" s="17" t="inlineStr">
        <is>
          <t>Gesture=Touch &amp; Hold (Long Press) on Log Entry</t>
        </is>
      </c>
      <c r="G101" s="17" t="inlineStr">
        <is>
          <t>Appium touch gesture executes correctly. Opens context action menu.</t>
        </is>
      </c>
      <c r="H101" s="16" t="inlineStr">
        <is>
          <t>Automated (Appium)</t>
        </is>
      </c>
      <c r="I101" s="16" t="inlineStr">
        <is>
          <t>P2</t>
        </is>
      </c>
      <c r="J101" s="16" t="inlineStr">
        <is>
          <t>Medium</t>
        </is>
      </c>
      <c r="K101" s="15" t="inlineStr">
        <is>
          <t>PASSED</t>
        </is>
      </c>
    </row>
    <row r="102" ht="20" customHeight="1">
      <c r="A102" s="13" t="inlineStr">
        <is>
          <t>TC_APP_101</t>
        </is>
      </c>
      <c r="B102" s="14" t="inlineStr">
        <is>
          <t>Gesture Navigation &amp; Touch Controls</t>
        </is>
      </c>
      <c r="C102" s="14" t="inlineStr">
        <is>
          <t>Verify gesture interaction: Double Tap on Threat Gauge</t>
        </is>
      </c>
      <c r="D102" s="14" t="inlineStr">
        <is>
          <t>Mobile app open on active screen</t>
        </is>
      </c>
      <c r="E102" s="14" t="inlineStr">
        <is>
          <t>1. Perform mobile touch action (Double Tap on Threat Gauge)
2. Validate Appium touch action response</t>
        </is>
      </c>
      <c r="F102" s="14" t="inlineStr">
        <is>
          <t>Gesture=Double Tap on Threat Gauge</t>
        </is>
      </c>
      <c r="G102" s="14" t="inlineStr">
        <is>
          <t>Appium touch gesture executes correctly. Displays detailed threat breakdown modal.</t>
        </is>
      </c>
      <c r="H102" s="13" t="inlineStr">
        <is>
          <t>Automated (Appium)</t>
        </is>
      </c>
      <c r="I102" s="13" t="inlineStr">
        <is>
          <t>P2</t>
        </is>
      </c>
      <c r="J102" s="13" t="inlineStr">
        <is>
          <t>Medium</t>
        </is>
      </c>
      <c r="K102" s="15" t="inlineStr">
        <is>
          <t>PASSED</t>
        </is>
      </c>
    </row>
    <row r="103" ht="20" customHeight="1">
      <c r="A103" s="16" t="inlineStr">
        <is>
          <t>TC_APP_102</t>
        </is>
      </c>
      <c r="B103" s="17" t="inlineStr">
        <is>
          <t>Gesture Navigation &amp; Touch Controls</t>
        </is>
      </c>
      <c r="C103" s="17" t="inlineStr">
        <is>
          <t>Verify gesture interaction: Drag and Drop reorder of dashboard widgets</t>
        </is>
      </c>
      <c r="D103" s="17" t="inlineStr">
        <is>
          <t>Mobile app open on active screen</t>
        </is>
      </c>
      <c r="E103" s="17" t="inlineStr">
        <is>
          <t>1. Perform mobile touch action (Drag and Drop reorder of dashboard widgets)
2. Validate Appium touch action response</t>
        </is>
      </c>
      <c r="F103" s="17" t="inlineStr">
        <is>
          <t>Gesture=Drag and Drop reorder of dashboard widgets</t>
        </is>
      </c>
      <c r="G103" s="17" t="inlineStr">
        <is>
          <t>Appium touch gesture executes correctly. Reorders cards dynamically.</t>
        </is>
      </c>
      <c r="H103" s="16" t="inlineStr">
        <is>
          <t>Automated (Appium)</t>
        </is>
      </c>
      <c r="I103" s="16" t="inlineStr">
        <is>
          <t>P2</t>
        </is>
      </c>
      <c r="J103" s="16" t="inlineStr">
        <is>
          <t>Medium</t>
        </is>
      </c>
      <c r="K103" s="15" t="inlineStr">
        <is>
          <t>PASSED</t>
        </is>
      </c>
    </row>
    <row r="104" ht="20" customHeight="1">
      <c r="A104" s="13" t="inlineStr">
        <is>
          <t>TC_APP_103</t>
        </is>
      </c>
      <c r="B104" s="14" t="inlineStr">
        <is>
          <t>Gesture Navigation &amp; Touch Controls</t>
        </is>
      </c>
      <c r="C104" s="14" t="inlineStr">
        <is>
          <t>Verify gesture interaction: Fast Fling Flick scroll down telemetry stream</t>
        </is>
      </c>
      <c r="D104" s="14" t="inlineStr">
        <is>
          <t>Mobile app open on active screen</t>
        </is>
      </c>
      <c r="E104" s="14" t="inlineStr">
        <is>
          <t>1. Perform mobile touch action (Fast Fling Flick scroll down telemetry stream)
2. Validate Appium touch action response</t>
        </is>
      </c>
      <c r="F104" s="14" t="inlineStr">
        <is>
          <t>Gesture=Fast Fling Flick scroll down telemetry stream</t>
        </is>
      </c>
      <c r="G104" s="14" t="inlineStr">
        <is>
          <t>Appium touch gesture executes correctly. Smooth momentum scrolling without FPS drop.</t>
        </is>
      </c>
      <c r="H104" s="13" t="inlineStr">
        <is>
          <t>Automated (Appium)</t>
        </is>
      </c>
      <c r="I104" s="13" t="inlineStr">
        <is>
          <t>P2</t>
        </is>
      </c>
      <c r="J104" s="13" t="inlineStr">
        <is>
          <t>Medium</t>
        </is>
      </c>
      <c r="K104" s="15" t="inlineStr">
        <is>
          <t>PASSED</t>
        </is>
      </c>
    </row>
    <row r="105" ht="20" customHeight="1">
      <c r="A105" s="16" t="inlineStr">
        <is>
          <t>TC_APP_104</t>
        </is>
      </c>
      <c r="B105" s="17" t="inlineStr">
        <is>
          <t>Gesture Navigation &amp; Touch Controls</t>
        </is>
      </c>
      <c r="C105" s="17" t="inlineStr">
        <is>
          <t>Verify gesture interaction: Fast Fling Flick scroll up telemetry stream</t>
        </is>
      </c>
      <c r="D105" s="17" t="inlineStr">
        <is>
          <t>Mobile app open on active screen</t>
        </is>
      </c>
      <c r="E105" s="17" t="inlineStr">
        <is>
          <t>1. Perform mobile touch action (Fast Fling Flick scroll up telemetry stream)
2. Validate Appium touch action response</t>
        </is>
      </c>
      <c r="F105" s="17" t="inlineStr">
        <is>
          <t>Gesture=Fast Fling Flick scroll up telemetry stream</t>
        </is>
      </c>
      <c r="G105" s="17" t="inlineStr">
        <is>
          <t>Appium touch gesture executes correctly. Scrolls smoothly back to top.</t>
        </is>
      </c>
      <c r="H105" s="16" t="inlineStr">
        <is>
          <t>Automated (Appium)</t>
        </is>
      </c>
      <c r="I105" s="16" t="inlineStr">
        <is>
          <t>P2</t>
        </is>
      </c>
      <c r="J105" s="16" t="inlineStr">
        <is>
          <t>Medium</t>
        </is>
      </c>
      <c r="K105" s="15" t="inlineStr">
        <is>
          <t>PASSED</t>
        </is>
      </c>
    </row>
    <row r="106" ht="20" customHeight="1">
      <c r="A106" s="13" t="inlineStr">
        <is>
          <t>TC_APP_105</t>
        </is>
      </c>
      <c r="B106" s="14" t="inlineStr">
        <is>
          <t>Gesture Navigation &amp; Touch Controls</t>
        </is>
      </c>
      <c r="C106" s="14" t="inlineStr">
        <is>
          <t>Verify gesture interaction: Edge Swipe from left screen boundary</t>
        </is>
      </c>
      <c r="D106" s="14" t="inlineStr">
        <is>
          <t>Mobile app open on active screen</t>
        </is>
      </c>
      <c r="E106" s="14" t="inlineStr">
        <is>
          <t>1. Perform mobile touch action (Edge Swipe from left screen boundary)
2. Validate Appium touch action response</t>
        </is>
      </c>
      <c r="F106" s="14" t="inlineStr">
        <is>
          <t>Gesture=Edge Swipe from left screen boundary</t>
        </is>
      </c>
      <c r="G106" s="14" t="inlineStr">
        <is>
          <t>Appium touch gesture executes correctly. Opens main navigation drawer menu.</t>
        </is>
      </c>
      <c r="H106" s="13" t="inlineStr">
        <is>
          <t>Automated (Appium)</t>
        </is>
      </c>
      <c r="I106" s="13" t="inlineStr">
        <is>
          <t>P2</t>
        </is>
      </c>
      <c r="J106" s="13" t="inlineStr">
        <is>
          <t>Medium</t>
        </is>
      </c>
      <c r="K106" s="15" t="inlineStr">
        <is>
          <t>PASSED</t>
        </is>
      </c>
    </row>
    <row r="107" ht="20" customHeight="1">
      <c r="A107" s="16" t="inlineStr">
        <is>
          <t>TC_APP_106</t>
        </is>
      </c>
      <c r="B107" s="17" t="inlineStr">
        <is>
          <t>Gesture Navigation &amp; Touch Controls</t>
        </is>
      </c>
      <c r="C107" s="17" t="inlineStr">
        <is>
          <t>Verify gesture interaction: Edge Swipe from right screen boundary</t>
        </is>
      </c>
      <c r="D107" s="17" t="inlineStr">
        <is>
          <t>Mobile app open on active screen</t>
        </is>
      </c>
      <c r="E107" s="17" t="inlineStr">
        <is>
          <t>1. Perform mobile touch action (Edge Swipe from right screen boundary)
2. Validate Appium touch action response</t>
        </is>
      </c>
      <c r="F107" s="17" t="inlineStr">
        <is>
          <t>Gesture=Edge Swipe from right screen boundary</t>
        </is>
      </c>
      <c r="G107" s="17" t="inlineStr">
        <is>
          <t>Appium touch gesture executes correctly. Opens alert filter options panel.</t>
        </is>
      </c>
      <c r="H107" s="16" t="inlineStr">
        <is>
          <t>Automated (Appium)</t>
        </is>
      </c>
      <c r="I107" s="16" t="inlineStr">
        <is>
          <t>P2</t>
        </is>
      </c>
      <c r="J107" s="16" t="inlineStr">
        <is>
          <t>Medium</t>
        </is>
      </c>
      <c r="K107" s="15" t="inlineStr">
        <is>
          <t>AUTOMATED</t>
        </is>
      </c>
    </row>
    <row r="108" ht="20" customHeight="1">
      <c r="A108" s="13" t="inlineStr">
        <is>
          <t>TC_APP_107</t>
        </is>
      </c>
      <c r="B108" s="14" t="inlineStr">
        <is>
          <t>Gesture Navigation &amp; Touch Controls</t>
        </is>
      </c>
      <c r="C108" s="14" t="inlineStr">
        <is>
          <t>Verify gesture interaction: Tap outside modal overlay dialog</t>
        </is>
      </c>
      <c r="D108" s="14" t="inlineStr">
        <is>
          <t>Mobile app open on active screen</t>
        </is>
      </c>
      <c r="E108" s="14" t="inlineStr">
        <is>
          <t>1. Perform mobile touch action (Tap outside modal overlay dialog)
2. Validate Appium touch action response</t>
        </is>
      </c>
      <c r="F108" s="14" t="inlineStr">
        <is>
          <t>Gesture=Tap outside modal overlay dialog</t>
        </is>
      </c>
      <c r="G108" s="14" t="inlineStr">
        <is>
          <t>Appium touch gesture executes correctly. Dismisses active modal dialog.</t>
        </is>
      </c>
      <c r="H108" s="13" t="inlineStr">
        <is>
          <t>Automated (Appium)</t>
        </is>
      </c>
      <c r="I108" s="13" t="inlineStr">
        <is>
          <t>P2</t>
        </is>
      </c>
      <c r="J108" s="13" t="inlineStr">
        <is>
          <t>Medium</t>
        </is>
      </c>
      <c r="K108" s="15" t="inlineStr">
        <is>
          <t>AUTOMATED</t>
        </is>
      </c>
    </row>
    <row r="109" ht="20" customHeight="1">
      <c r="A109" s="16" t="inlineStr">
        <is>
          <t>TC_APP_108</t>
        </is>
      </c>
      <c r="B109" s="17" t="inlineStr">
        <is>
          <t>Gesture Navigation &amp; Touch Controls</t>
        </is>
      </c>
      <c r="C109" s="17" t="inlineStr">
        <is>
          <t>Verify gesture interaction: Two-finger scroll on data table</t>
        </is>
      </c>
      <c r="D109" s="17" t="inlineStr">
        <is>
          <t>Mobile app open on active screen</t>
        </is>
      </c>
      <c r="E109" s="17" t="inlineStr">
        <is>
          <t>1. Perform mobile touch action (Two-finger scroll on data table)
2. Validate Appium touch action response</t>
        </is>
      </c>
      <c r="F109" s="17" t="inlineStr">
        <is>
          <t>Gesture=Two-finger scroll on data table</t>
        </is>
      </c>
      <c r="G109" s="17" t="inlineStr">
        <is>
          <t>Appium touch gesture executes correctly. Pan-scrolls table horizontally.</t>
        </is>
      </c>
      <c r="H109" s="16" t="inlineStr">
        <is>
          <t>Automated (Appium)</t>
        </is>
      </c>
      <c r="I109" s="16" t="inlineStr">
        <is>
          <t>P2</t>
        </is>
      </c>
      <c r="J109" s="16" t="inlineStr">
        <is>
          <t>Medium</t>
        </is>
      </c>
      <c r="K109" s="15" t="inlineStr">
        <is>
          <t>AUTOMATED</t>
        </is>
      </c>
    </row>
    <row r="110" ht="20" customHeight="1">
      <c r="A110" s="13" t="inlineStr">
        <is>
          <t>TC_APP_109</t>
        </is>
      </c>
      <c r="B110" s="14" t="inlineStr">
        <is>
          <t>Gesture Navigation &amp; Touch Controls</t>
        </is>
      </c>
      <c r="C110" s="14" t="inlineStr">
        <is>
          <t>Verify gesture interaction: Pull-down to refresh top header</t>
        </is>
      </c>
      <c r="D110" s="14" t="inlineStr">
        <is>
          <t>Mobile app open on active screen</t>
        </is>
      </c>
      <c r="E110" s="14" t="inlineStr">
        <is>
          <t>1. Perform mobile touch action (Pull-down to refresh top header)
2. Validate Appium touch action response</t>
        </is>
      </c>
      <c r="F110" s="14" t="inlineStr">
        <is>
          <t>Gesture=Pull-down to refresh top header</t>
        </is>
      </c>
      <c r="G110" s="14" t="inlineStr">
        <is>
          <t>Appium touch gesture executes correctly. Triggers sync refresh gesture animation.</t>
        </is>
      </c>
      <c r="H110" s="13" t="inlineStr">
        <is>
          <t>Automated (Appium)</t>
        </is>
      </c>
      <c r="I110" s="13" t="inlineStr">
        <is>
          <t>P2</t>
        </is>
      </c>
      <c r="J110" s="13" t="inlineStr">
        <is>
          <t>Medium</t>
        </is>
      </c>
      <c r="K110" s="15" t="inlineStr">
        <is>
          <t>AUTOMATED</t>
        </is>
      </c>
    </row>
    <row r="111" ht="20" customHeight="1">
      <c r="A111" s="16" t="inlineStr">
        <is>
          <t>TC_APP_110</t>
        </is>
      </c>
      <c r="B111" s="17" t="inlineStr">
        <is>
          <t>Gesture Navigation &amp; Touch Controls</t>
        </is>
      </c>
      <c r="C111" s="17" t="inlineStr">
        <is>
          <t>Verify gesture interaction: Swipe down to dismiss full-screen modal</t>
        </is>
      </c>
      <c r="D111" s="17" t="inlineStr">
        <is>
          <t>Mobile app open on active screen</t>
        </is>
      </c>
      <c r="E111" s="17" t="inlineStr">
        <is>
          <t>1. Perform mobile touch action (Swipe down to dismiss full-screen modal)
2. Validate Appium touch action response</t>
        </is>
      </c>
      <c r="F111" s="17" t="inlineStr">
        <is>
          <t>Gesture=Swipe down to dismiss full-screen modal</t>
        </is>
      </c>
      <c r="G111" s="17" t="inlineStr">
        <is>
          <t>Appium touch gesture executes correctly. Closes modal view smoothly.</t>
        </is>
      </c>
      <c r="H111" s="16" t="inlineStr">
        <is>
          <t>Automated (Appium)</t>
        </is>
      </c>
      <c r="I111" s="16" t="inlineStr">
        <is>
          <t>P2</t>
        </is>
      </c>
      <c r="J111" s="16" t="inlineStr">
        <is>
          <t>Medium</t>
        </is>
      </c>
      <c r="K111" s="15" t="inlineStr">
        <is>
          <t>AUTOMATED</t>
        </is>
      </c>
    </row>
    <row r="112" ht="20" customHeight="1">
      <c r="A112" s="13" t="inlineStr">
        <is>
          <t>TC_APP_111</t>
        </is>
      </c>
      <c r="B112" s="14" t="inlineStr">
        <is>
          <t>Gesture Navigation &amp; Touch Controls</t>
        </is>
      </c>
      <c r="C112" s="14" t="inlineStr">
        <is>
          <t>Verify gesture interaction: Tap on navigation bar icons</t>
        </is>
      </c>
      <c r="D112" s="14" t="inlineStr">
        <is>
          <t>Mobile app open on active screen</t>
        </is>
      </c>
      <c r="E112" s="14" t="inlineStr">
        <is>
          <t>1. Perform mobile touch action (Tap on navigation bar icons)
2. Validate Appium touch action response</t>
        </is>
      </c>
      <c r="F112" s="14" t="inlineStr">
        <is>
          <t>Gesture=Tap on navigation bar icons</t>
        </is>
      </c>
      <c r="G112" s="14" t="inlineStr">
        <is>
          <t>Appium touch gesture executes correctly. Switches active app tab instantly.</t>
        </is>
      </c>
      <c r="H112" s="13" t="inlineStr">
        <is>
          <t>Manual</t>
        </is>
      </c>
      <c r="I112" s="13" t="inlineStr">
        <is>
          <t>P2</t>
        </is>
      </c>
      <c r="J112" s="13" t="inlineStr">
        <is>
          <t>Medium</t>
        </is>
      </c>
      <c r="K112" s="15" t="inlineStr">
        <is>
          <t>AUTOMATED</t>
        </is>
      </c>
    </row>
    <row r="113" ht="20" customHeight="1">
      <c r="A113" s="16" t="inlineStr">
        <is>
          <t>TC_APP_112</t>
        </is>
      </c>
      <c r="B113" s="17" t="inlineStr">
        <is>
          <t>Gesture Navigation &amp; Touch Controls</t>
        </is>
      </c>
      <c r="C113" s="17" t="inlineStr">
        <is>
          <t>Verify gesture interaction: Long press on copy IP action</t>
        </is>
      </c>
      <c r="D113" s="17" t="inlineStr">
        <is>
          <t>Mobile app open on active screen</t>
        </is>
      </c>
      <c r="E113" s="17" t="inlineStr">
        <is>
          <t>1. Perform mobile touch action (Long press on copy IP action)
2. Validate Appium touch action response</t>
        </is>
      </c>
      <c r="F113" s="17" t="inlineStr">
        <is>
          <t>Gesture=Long press on copy IP action</t>
        </is>
      </c>
      <c r="G113" s="17" t="inlineStr">
        <is>
          <t>Appium touch gesture executes correctly. Copies IP address to device system clipboard.</t>
        </is>
      </c>
      <c r="H113" s="16" t="inlineStr">
        <is>
          <t>Manual</t>
        </is>
      </c>
      <c r="I113" s="16" t="inlineStr">
        <is>
          <t>P2</t>
        </is>
      </c>
      <c r="J113" s="16" t="inlineStr">
        <is>
          <t>Medium</t>
        </is>
      </c>
      <c r="K113" s="15" t="inlineStr">
        <is>
          <t>AUTOMATED</t>
        </is>
      </c>
    </row>
    <row r="114" ht="20" customHeight="1">
      <c r="A114" s="13" t="inlineStr">
        <is>
          <t>TC_APP_113</t>
        </is>
      </c>
      <c r="B114" s="14" t="inlineStr">
        <is>
          <t>Gesture Navigation &amp; Touch Controls</t>
        </is>
      </c>
      <c r="C114" s="14" t="inlineStr">
        <is>
          <t>Verify gesture interaction: Multi-touch simultaneous tab press</t>
        </is>
      </c>
      <c r="D114" s="14" t="inlineStr">
        <is>
          <t>Mobile app open on active screen</t>
        </is>
      </c>
      <c r="E114" s="14" t="inlineStr">
        <is>
          <t>1. Perform mobile touch action (Multi-touch simultaneous tab press)
2. Validate Appium touch action response</t>
        </is>
      </c>
      <c r="F114" s="14" t="inlineStr">
        <is>
          <t>Gesture=Multi-touch simultaneous tab press</t>
        </is>
      </c>
      <c r="G114" s="14" t="inlineStr">
        <is>
          <t>Appium touch gesture executes correctly. Ignores conflicting multi-tap gracefully.</t>
        </is>
      </c>
      <c r="H114" s="13" t="inlineStr">
        <is>
          <t>Manual</t>
        </is>
      </c>
      <c r="I114" s="13" t="inlineStr">
        <is>
          <t>P2</t>
        </is>
      </c>
      <c r="J114" s="13" t="inlineStr">
        <is>
          <t>Medium</t>
        </is>
      </c>
      <c r="K114" s="15" t="inlineStr">
        <is>
          <t>AUTOMATED</t>
        </is>
      </c>
    </row>
    <row r="115" ht="20" customHeight="1">
      <c r="A115" s="16" t="inlineStr">
        <is>
          <t>TC_APP_114</t>
        </is>
      </c>
      <c r="B115" s="17" t="inlineStr">
        <is>
          <t>Gesture Navigation &amp; Touch Controls</t>
        </is>
      </c>
      <c r="C115" s="17" t="inlineStr">
        <is>
          <t>Verify gesture interaction: Rapid repeated tap on submit button</t>
        </is>
      </c>
      <c r="D115" s="17" t="inlineStr">
        <is>
          <t>Mobile app open on active screen</t>
        </is>
      </c>
      <c r="E115" s="17" t="inlineStr">
        <is>
          <t>1. Perform mobile touch action (Rapid repeated tap on submit button)
2. Validate Appium touch action response</t>
        </is>
      </c>
      <c r="F115" s="17" t="inlineStr">
        <is>
          <t>Gesture=Rapid repeated tap on submit button</t>
        </is>
      </c>
      <c r="G115" s="17" t="inlineStr">
        <is>
          <t>Appium touch gesture executes correctly. Ignores duplicate tap events.</t>
        </is>
      </c>
      <c r="H115" s="16" t="inlineStr">
        <is>
          <t>Manual</t>
        </is>
      </c>
      <c r="I115" s="16" t="inlineStr">
        <is>
          <t>P2</t>
        </is>
      </c>
      <c r="J115" s="16" t="inlineStr">
        <is>
          <t>Medium</t>
        </is>
      </c>
      <c r="K115" s="15" t="inlineStr">
        <is>
          <t>AUTOMATED</t>
        </is>
      </c>
    </row>
    <row r="116" ht="20" customHeight="1">
      <c r="A116" s="13" t="inlineStr">
        <is>
          <t>TC_APP_115</t>
        </is>
      </c>
      <c r="B116" s="14" t="inlineStr">
        <is>
          <t>Gesture Navigation &amp; Touch Controls</t>
        </is>
      </c>
      <c r="C116" s="14" t="inlineStr">
        <is>
          <t>Verify gesture interaction: Swipe gesture on notification card</t>
        </is>
      </c>
      <c r="D116" s="14" t="inlineStr">
        <is>
          <t>Mobile app open on active screen</t>
        </is>
      </c>
      <c r="E116" s="14" t="inlineStr">
        <is>
          <t>1. Perform mobile touch action (Swipe gesture on notification card)
2. Validate Appium touch action response</t>
        </is>
      </c>
      <c r="F116" s="14" t="inlineStr">
        <is>
          <t>Gesture=Swipe gesture on notification card</t>
        </is>
      </c>
      <c r="G116" s="14" t="inlineStr">
        <is>
          <t>Appium touch gesture executes correctly. Archives security notification.</t>
        </is>
      </c>
      <c r="H116" s="13" t="inlineStr">
        <is>
          <t>Manual</t>
        </is>
      </c>
      <c r="I116" s="13" t="inlineStr">
        <is>
          <t>P2</t>
        </is>
      </c>
      <c r="J116" s="13" t="inlineStr">
        <is>
          <t>Medium</t>
        </is>
      </c>
      <c r="K116" s="15" t="inlineStr">
        <is>
          <t>AUTOMATED</t>
        </is>
      </c>
    </row>
    <row r="117" ht="20" customHeight="1">
      <c r="A117" s="16" t="inlineStr">
        <is>
          <t>TC_APP_116</t>
        </is>
      </c>
      <c r="B117" s="17" t="inlineStr">
        <is>
          <t>Gesture Navigation &amp; Touch Controls</t>
        </is>
      </c>
      <c r="C117" s="17" t="inlineStr">
        <is>
          <t>Verify gesture interaction: Scroll to bottom of long list</t>
        </is>
      </c>
      <c r="D117" s="17" t="inlineStr">
        <is>
          <t>Mobile app open on active screen</t>
        </is>
      </c>
      <c r="E117" s="17" t="inlineStr">
        <is>
          <t>1. Perform mobile touch action (Scroll to bottom of long list)
2. Validate Appium touch action response</t>
        </is>
      </c>
      <c r="F117" s="17" t="inlineStr">
        <is>
          <t>Gesture=Scroll to bottom of long list</t>
        </is>
      </c>
      <c r="G117" s="17" t="inlineStr">
        <is>
          <t>Appium touch gesture executes correctly. Triggers lazy-loading pagination for log history.</t>
        </is>
      </c>
      <c r="H117" s="16" t="inlineStr">
        <is>
          <t>Manual</t>
        </is>
      </c>
      <c r="I117" s="16" t="inlineStr">
        <is>
          <t>P2</t>
        </is>
      </c>
      <c r="J117" s="16" t="inlineStr">
        <is>
          <t>Medium</t>
        </is>
      </c>
      <c r="K117" s="15" t="inlineStr">
        <is>
          <t>AUTOMATED</t>
        </is>
      </c>
    </row>
    <row r="118" ht="20" customHeight="1">
      <c r="A118" s="13" t="inlineStr">
        <is>
          <t>TC_APP_117</t>
        </is>
      </c>
      <c r="B118" s="14" t="inlineStr">
        <is>
          <t>Gesture Navigation &amp; Touch Controls</t>
        </is>
      </c>
      <c r="C118" s="14" t="inlineStr">
        <is>
          <t>Verify gesture interaction: Scroll back to top button tap</t>
        </is>
      </c>
      <c r="D118" s="14" t="inlineStr">
        <is>
          <t>Mobile app open on active screen</t>
        </is>
      </c>
      <c r="E118" s="14" t="inlineStr">
        <is>
          <t>1. Perform mobile touch action (Scroll back to top button tap)
2. Validate Appium touch action response</t>
        </is>
      </c>
      <c r="F118" s="14" t="inlineStr">
        <is>
          <t>Gesture=Scroll back to top button tap</t>
        </is>
      </c>
      <c r="G118" s="14" t="inlineStr">
        <is>
          <t>Appium touch gesture executes correctly. Smooth scrolls viewport back to top position.</t>
        </is>
      </c>
      <c r="H118" s="13" t="inlineStr">
        <is>
          <t>Manual</t>
        </is>
      </c>
      <c r="I118" s="13" t="inlineStr">
        <is>
          <t>P2</t>
        </is>
      </c>
      <c r="J118" s="13" t="inlineStr">
        <is>
          <t>Medium</t>
        </is>
      </c>
      <c r="K118" s="15" t="inlineStr">
        <is>
          <t>AUTOMATED</t>
        </is>
      </c>
    </row>
    <row r="119" ht="20" customHeight="1">
      <c r="A119" s="16" t="inlineStr">
        <is>
          <t>TC_APP_118</t>
        </is>
      </c>
      <c r="B119" s="17" t="inlineStr">
        <is>
          <t>Gesture Navigation &amp; Touch Controls</t>
        </is>
      </c>
      <c r="C119" s="17" t="inlineStr">
        <is>
          <t>Verify gesture interaction: Custom gesture shape drawing</t>
        </is>
      </c>
      <c r="D119" s="17" t="inlineStr">
        <is>
          <t>Mobile app open on active screen</t>
        </is>
      </c>
      <c r="E119" s="17" t="inlineStr">
        <is>
          <t>1. Perform mobile touch action (Custom gesture shape drawing)
2. Validate Appium touch action response</t>
        </is>
      </c>
      <c r="F119" s="17" t="inlineStr">
        <is>
          <t>Gesture=Custom gesture shape drawing</t>
        </is>
      </c>
      <c r="G119" s="17" t="inlineStr">
        <is>
          <t>Appium touch gesture executes correctly. Rejects unsupported touch gestures cleanly.</t>
        </is>
      </c>
      <c r="H119" s="16" t="inlineStr">
        <is>
          <t>Manual</t>
        </is>
      </c>
      <c r="I119" s="16" t="inlineStr">
        <is>
          <t>P2</t>
        </is>
      </c>
      <c r="J119" s="16" t="inlineStr">
        <is>
          <t>Medium</t>
        </is>
      </c>
      <c r="K119" s="15" t="inlineStr">
        <is>
          <t>AUTOMATED</t>
        </is>
      </c>
    </row>
    <row r="120" ht="20" customHeight="1">
      <c r="A120" s="13" t="inlineStr">
        <is>
          <t>TC_APP_119</t>
        </is>
      </c>
      <c r="B120" s="14" t="inlineStr">
        <is>
          <t>Gesture Navigation &amp; Touch Controls</t>
        </is>
      </c>
      <c r="C120" s="14" t="inlineStr">
        <is>
          <t>Verify gesture interaction: Haptic touch vibration feedback</t>
        </is>
      </c>
      <c r="D120" s="14" t="inlineStr">
        <is>
          <t>Mobile app open on active screen</t>
        </is>
      </c>
      <c r="E120" s="14" t="inlineStr">
        <is>
          <t>1. Perform mobile touch action (Haptic touch vibration feedback)
2. Validate Appium touch action response</t>
        </is>
      </c>
      <c r="F120" s="14" t="inlineStr">
        <is>
          <t>Gesture=Haptic touch vibration feedback</t>
        </is>
      </c>
      <c r="G120" s="14" t="inlineStr">
        <is>
          <t>Appium touch gesture executes correctly. Triggers device haptic feedback motor on alert tap.</t>
        </is>
      </c>
      <c r="H120" s="13" t="inlineStr">
        <is>
          <t>Manual</t>
        </is>
      </c>
      <c r="I120" s="13" t="inlineStr">
        <is>
          <t>P2</t>
        </is>
      </c>
      <c r="J120" s="13" t="inlineStr">
        <is>
          <t>Medium</t>
        </is>
      </c>
      <c r="K120" s="15" t="inlineStr">
        <is>
          <t>AUTOMATED</t>
        </is>
      </c>
    </row>
    <row r="121" ht="20" customHeight="1">
      <c r="A121" s="16" t="inlineStr">
        <is>
          <t>TC_APP_120</t>
        </is>
      </c>
      <c r="B121" s="17" t="inlineStr">
        <is>
          <t>Gesture Navigation &amp; Touch Controls</t>
        </is>
      </c>
      <c r="C121" s="17" t="inlineStr">
        <is>
          <t>Verify gesture interaction: Shake device gesture</t>
        </is>
      </c>
      <c r="D121" s="17" t="inlineStr">
        <is>
          <t>Mobile app open on active screen</t>
        </is>
      </c>
      <c r="E121" s="17" t="inlineStr">
        <is>
          <t>1. Perform mobile touch action (Shake device gesture)
2. Validate Appium touch action response</t>
        </is>
      </c>
      <c r="F121" s="17" t="inlineStr">
        <is>
          <t>Gesture=Shake device gesture</t>
        </is>
      </c>
      <c r="G121" s="17" t="inlineStr">
        <is>
          <t>Appium touch gesture executes correctly. Triggers emergency alert broadcast trigger prompt.</t>
        </is>
      </c>
      <c r="H121" s="16" t="inlineStr">
        <is>
          <t>Manual</t>
        </is>
      </c>
      <c r="I121" s="16" t="inlineStr">
        <is>
          <t>P2</t>
        </is>
      </c>
      <c r="J121" s="16" t="inlineStr">
        <is>
          <t>Medium</t>
        </is>
      </c>
      <c r="K121" s="15" t="inlineStr">
        <is>
          <t>AUTOMATED</t>
        </is>
      </c>
    </row>
    <row r="122" ht="20" customHeight="1">
      <c r="A122" s="13" t="inlineStr">
        <is>
          <t>TC_APP_121</t>
        </is>
      </c>
      <c r="B122" s="14" t="inlineStr">
        <is>
          <t>Offline Mode &amp; Local Cache Sync</t>
        </is>
      </c>
      <c r="C122" s="14" t="inlineStr">
        <is>
          <t>Verify offline data persistence &amp; auto-sync upon reconnection (Test #1)</t>
        </is>
      </c>
      <c r="D122" s="14" t="inlineStr">
        <is>
          <t>Appium toggles device airplane mode / network state</t>
        </is>
      </c>
      <c r="E122" s="14" t="inlineStr">
        <is>
          <t>1. Turn off device Wi-Fi/Cellular network
2. Perform telemetry log lookup in app
3. Re-enable network connection
4. Monitor background sync task</t>
        </is>
      </c>
      <c r="F122" s="14" t="inlineStr">
        <is>
          <t>Offline_Test_Variant=1</t>
        </is>
      </c>
      <c r="G122" s="14" t="inlineStr">
        <is>
          <t>App caches telemetry data locally SQLite/MMKV while offline and syncs automatically when network restores.</t>
        </is>
      </c>
      <c r="H122" s="13" t="inlineStr">
        <is>
          <t>Automated (Appium)</t>
        </is>
      </c>
      <c r="I122" s="13" t="inlineStr">
        <is>
          <t>P1</t>
        </is>
      </c>
      <c r="J122" s="13" t="inlineStr">
        <is>
          <t>High</t>
        </is>
      </c>
      <c r="K122" s="15" t="inlineStr">
        <is>
          <t>PASSED</t>
        </is>
      </c>
    </row>
    <row r="123" ht="20" customHeight="1">
      <c r="A123" s="16" t="inlineStr">
        <is>
          <t>TC_APP_122</t>
        </is>
      </c>
      <c r="B123" s="17" t="inlineStr">
        <is>
          <t>Offline Mode &amp; Local Cache Sync</t>
        </is>
      </c>
      <c r="C123" s="17" t="inlineStr">
        <is>
          <t>Verify offline data persistence &amp; auto-sync upon reconnection (Test #2)</t>
        </is>
      </c>
      <c r="D123" s="17" t="inlineStr">
        <is>
          <t>Appium toggles device airplane mode / network state</t>
        </is>
      </c>
      <c r="E123" s="17" t="inlineStr">
        <is>
          <t>1. Turn off device Wi-Fi/Cellular network
2. Perform telemetry log lookup in app
3. Re-enable network connection
4. Monitor background sync task</t>
        </is>
      </c>
      <c r="F123" s="17" t="inlineStr">
        <is>
          <t>Offline_Test_Variant=2</t>
        </is>
      </c>
      <c r="G123" s="17" t="inlineStr">
        <is>
          <t>App caches telemetry data locally SQLite/MMKV while offline and syncs automatically when network restores.</t>
        </is>
      </c>
      <c r="H123" s="16" t="inlineStr">
        <is>
          <t>Automated (Appium)</t>
        </is>
      </c>
      <c r="I123" s="16" t="inlineStr">
        <is>
          <t>P1</t>
        </is>
      </c>
      <c r="J123" s="16" t="inlineStr">
        <is>
          <t>High</t>
        </is>
      </c>
      <c r="K123" s="15" t="inlineStr">
        <is>
          <t>PASSED</t>
        </is>
      </c>
    </row>
    <row r="124" ht="20" customHeight="1">
      <c r="A124" s="13" t="inlineStr">
        <is>
          <t>TC_APP_123</t>
        </is>
      </c>
      <c r="B124" s="14" t="inlineStr">
        <is>
          <t>Offline Mode &amp; Local Cache Sync</t>
        </is>
      </c>
      <c r="C124" s="14" t="inlineStr">
        <is>
          <t>Verify offline data persistence &amp; auto-sync upon reconnection (Test #3)</t>
        </is>
      </c>
      <c r="D124" s="14" t="inlineStr">
        <is>
          <t>Appium toggles device airplane mode / network state</t>
        </is>
      </c>
      <c r="E124" s="14" t="inlineStr">
        <is>
          <t>1. Turn off device Wi-Fi/Cellular network
2. Perform telemetry log lookup in app
3. Re-enable network connection
4. Monitor background sync task</t>
        </is>
      </c>
      <c r="F124" s="14" t="inlineStr">
        <is>
          <t>Offline_Test_Variant=3</t>
        </is>
      </c>
      <c r="G124" s="14" t="inlineStr">
        <is>
          <t>App caches telemetry data locally SQLite/MMKV while offline and syncs automatically when network restores.</t>
        </is>
      </c>
      <c r="H124" s="13" t="inlineStr">
        <is>
          <t>Automated (Appium)</t>
        </is>
      </c>
      <c r="I124" s="13" t="inlineStr">
        <is>
          <t>P1</t>
        </is>
      </c>
      <c r="J124" s="13" t="inlineStr">
        <is>
          <t>High</t>
        </is>
      </c>
      <c r="K124" s="15" t="inlineStr">
        <is>
          <t>PASSED</t>
        </is>
      </c>
    </row>
    <row r="125" ht="20" customHeight="1">
      <c r="A125" s="16" t="inlineStr">
        <is>
          <t>TC_APP_124</t>
        </is>
      </c>
      <c r="B125" s="17" t="inlineStr">
        <is>
          <t>Offline Mode &amp; Local Cache Sync</t>
        </is>
      </c>
      <c r="C125" s="17" t="inlineStr">
        <is>
          <t>Verify offline data persistence &amp; auto-sync upon reconnection (Test #4)</t>
        </is>
      </c>
      <c r="D125" s="17" t="inlineStr">
        <is>
          <t>Appium toggles device airplane mode / network state</t>
        </is>
      </c>
      <c r="E125" s="17" t="inlineStr">
        <is>
          <t>1. Turn off device Wi-Fi/Cellular network
2. Perform telemetry log lookup in app
3. Re-enable network connection
4. Monitor background sync task</t>
        </is>
      </c>
      <c r="F125" s="17" t="inlineStr">
        <is>
          <t>Offline_Test_Variant=4</t>
        </is>
      </c>
      <c r="G125" s="17" t="inlineStr">
        <is>
          <t>App caches telemetry data locally SQLite/MMKV while offline and syncs automatically when network restores.</t>
        </is>
      </c>
      <c r="H125" s="16" t="inlineStr">
        <is>
          <t>Automated (Appium)</t>
        </is>
      </c>
      <c r="I125" s="16" t="inlineStr">
        <is>
          <t>P1</t>
        </is>
      </c>
      <c r="J125" s="16" t="inlineStr">
        <is>
          <t>High</t>
        </is>
      </c>
      <c r="K125" s="15" t="inlineStr">
        <is>
          <t>PASSED</t>
        </is>
      </c>
    </row>
    <row r="126" ht="20" customHeight="1">
      <c r="A126" s="13" t="inlineStr">
        <is>
          <t>TC_APP_125</t>
        </is>
      </c>
      <c r="B126" s="14" t="inlineStr">
        <is>
          <t>Offline Mode &amp; Local Cache Sync</t>
        </is>
      </c>
      <c r="C126" s="14" t="inlineStr">
        <is>
          <t>Verify offline data persistence &amp; auto-sync upon reconnection (Test #5)</t>
        </is>
      </c>
      <c r="D126" s="14" t="inlineStr">
        <is>
          <t>Appium toggles device airplane mode / network state</t>
        </is>
      </c>
      <c r="E126" s="14" t="inlineStr">
        <is>
          <t>1. Turn off device Wi-Fi/Cellular network
2. Perform telemetry log lookup in app
3. Re-enable network connection
4. Monitor background sync task</t>
        </is>
      </c>
      <c r="F126" s="14" t="inlineStr">
        <is>
          <t>Offline_Test_Variant=5</t>
        </is>
      </c>
      <c r="G126" s="14" t="inlineStr">
        <is>
          <t>App caches telemetry data locally SQLite/MMKV while offline and syncs automatically when network restores.</t>
        </is>
      </c>
      <c r="H126" s="13" t="inlineStr">
        <is>
          <t>Automated (Appium)</t>
        </is>
      </c>
      <c r="I126" s="13" t="inlineStr">
        <is>
          <t>P1</t>
        </is>
      </c>
      <c r="J126" s="13" t="inlineStr">
        <is>
          <t>High</t>
        </is>
      </c>
      <c r="K126" s="15" t="inlineStr">
        <is>
          <t>PASSED</t>
        </is>
      </c>
    </row>
    <row r="127" ht="20" customHeight="1">
      <c r="A127" s="16" t="inlineStr">
        <is>
          <t>TC_APP_126</t>
        </is>
      </c>
      <c r="B127" s="17" t="inlineStr">
        <is>
          <t>Offline Mode &amp; Local Cache Sync</t>
        </is>
      </c>
      <c r="C127" s="17" t="inlineStr">
        <is>
          <t>Verify offline data persistence &amp; auto-sync upon reconnection (Test #6)</t>
        </is>
      </c>
      <c r="D127" s="17" t="inlineStr">
        <is>
          <t>Appium toggles device airplane mode / network state</t>
        </is>
      </c>
      <c r="E127" s="17" t="inlineStr">
        <is>
          <t>1. Turn off device Wi-Fi/Cellular network
2. Perform telemetry log lookup in app
3. Re-enable network connection
4. Monitor background sync task</t>
        </is>
      </c>
      <c r="F127" s="17" t="inlineStr">
        <is>
          <t>Offline_Test_Variant=6</t>
        </is>
      </c>
      <c r="G127" s="17" t="inlineStr">
        <is>
          <t>App caches telemetry data locally SQLite/MMKV while offline and syncs automatically when network restores.</t>
        </is>
      </c>
      <c r="H127" s="16" t="inlineStr">
        <is>
          <t>Automated (Appium)</t>
        </is>
      </c>
      <c r="I127" s="16" t="inlineStr">
        <is>
          <t>P1</t>
        </is>
      </c>
      <c r="J127" s="16" t="inlineStr">
        <is>
          <t>High</t>
        </is>
      </c>
      <c r="K127" s="15" t="inlineStr">
        <is>
          <t>PASSED</t>
        </is>
      </c>
    </row>
    <row r="128" ht="20" customHeight="1">
      <c r="A128" s="13" t="inlineStr">
        <is>
          <t>TC_APP_127</t>
        </is>
      </c>
      <c r="B128" s="14" t="inlineStr">
        <is>
          <t>Offline Mode &amp; Local Cache Sync</t>
        </is>
      </c>
      <c r="C128" s="14" t="inlineStr">
        <is>
          <t>Verify offline data persistence &amp; auto-sync upon reconnection (Test #7)</t>
        </is>
      </c>
      <c r="D128" s="14" t="inlineStr">
        <is>
          <t>Appium toggles device airplane mode / network state</t>
        </is>
      </c>
      <c r="E128" s="14" t="inlineStr">
        <is>
          <t>1. Turn off device Wi-Fi/Cellular network
2. Perform telemetry log lookup in app
3. Re-enable network connection
4. Monitor background sync task</t>
        </is>
      </c>
      <c r="F128" s="14" t="inlineStr">
        <is>
          <t>Offline_Test_Variant=7</t>
        </is>
      </c>
      <c r="G128" s="14" t="inlineStr">
        <is>
          <t>App caches telemetry data locally SQLite/MMKV while offline and syncs automatically when network restores.</t>
        </is>
      </c>
      <c r="H128" s="13" t="inlineStr">
        <is>
          <t>Automated (Appium)</t>
        </is>
      </c>
      <c r="I128" s="13" t="inlineStr">
        <is>
          <t>P1</t>
        </is>
      </c>
      <c r="J128" s="13" t="inlineStr">
        <is>
          <t>High</t>
        </is>
      </c>
      <c r="K128" s="15" t="inlineStr">
        <is>
          <t>PASSED</t>
        </is>
      </c>
    </row>
    <row r="129" ht="20" customHeight="1">
      <c r="A129" s="16" t="inlineStr">
        <is>
          <t>TC_APP_128</t>
        </is>
      </c>
      <c r="B129" s="17" t="inlineStr">
        <is>
          <t>Offline Mode &amp; Local Cache Sync</t>
        </is>
      </c>
      <c r="C129" s="17" t="inlineStr">
        <is>
          <t>Verify offline data persistence &amp; auto-sync upon reconnection (Test #8)</t>
        </is>
      </c>
      <c r="D129" s="17" t="inlineStr">
        <is>
          <t>Appium toggles device airplane mode / network state</t>
        </is>
      </c>
      <c r="E129" s="17" t="inlineStr">
        <is>
          <t>1. Turn off device Wi-Fi/Cellular network
2. Perform telemetry log lookup in app
3. Re-enable network connection
4. Monitor background sync task</t>
        </is>
      </c>
      <c r="F129" s="17" t="inlineStr">
        <is>
          <t>Offline_Test_Variant=8</t>
        </is>
      </c>
      <c r="G129" s="17" t="inlineStr">
        <is>
          <t>App caches telemetry data locally SQLite/MMKV while offline and syncs automatically when network restores.</t>
        </is>
      </c>
      <c r="H129" s="16" t="inlineStr">
        <is>
          <t>Automated (Appium)</t>
        </is>
      </c>
      <c r="I129" s="16" t="inlineStr">
        <is>
          <t>P1</t>
        </is>
      </c>
      <c r="J129" s="16" t="inlineStr">
        <is>
          <t>High</t>
        </is>
      </c>
      <c r="K129" s="15" t="inlineStr">
        <is>
          <t>PASSED</t>
        </is>
      </c>
    </row>
    <row r="130" ht="20" customHeight="1">
      <c r="A130" s="13" t="inlineStr">
        <is>
          <t>TC_APP_129</t>
        </is>
      </c>
      <c r="B130" s="14" t="inlineStr">
        <is>
          <t>Offline Mode &amp; Local Cache Sync</t>
        </is>
      </c>
      <c r="C130" s="14" t="inlineStr">
        <is>
          <t>Verify offline data persistence &amp; auto-sync upon reconnection (Test #9)</t>
        </is>
      </c>
      <c r="D130" s="14" t="inlineStr">
        <is>
          <t>Appium toggles device airplane mode / network state</t>
        </is>
      </c>
      <c r="E130" s="14" t="inlineStr">
        <is>
          <t>1. Turn off device Wi-Fi/Cellular network
2. Perform telemetry log lookup in app
3. Re-enable network connection
4. Monitor background sync task</t>
        </is>
      </c>
      <c r="F130" s="14" t="inlineStr">
        <is>
          <t>Offline_Test_Variant=9</t>
        </is>
      </c>
      <c r="G130" s="14" t="inlineStr">
        <is>
          <t>App caches telemetry data locally SQLite/MMKV while offline and syncs automatically when network restores.</t>
        </is>
      </c>
      <c r="H130" s="13" t="inlineStr">
        <is>
          <t>Automated (Appium)</t>
        </is>
      </c>
      <c r="I130" s="13" t="inlineStr">
        <is>
          <t>P1</t>
        </is>
      </c>
      <c r="J130" s="13" t="inlineStr">
        <is>
          <t>High</t>
        </is>
      </c>
      <c r="K130" s="15" t="inlineStr">
        <is>
          <t>PASSED</t>
        </is>
      </c>
    </row>
    <row r="131" ht="20" customHeight="1">
      <c r="A131" s="16" t="inlineStr">
        <is>
          <t>TC_APP_130</t>
        </is>
      </c>
      <c r="B131" s="17" t="inlineStr">
        <is>
          <t>Offline Mode &amp; Local Cache Sync</t>
        </is>
      </c>
      <c r="C131" s="17" t="inlineStr">
        <is>
          <t>Verify offline data persistence &amp; auto-sync upon reconnection (Test #10)</t>
        </is>
      </c>
      <c r="D131" s="17" t="inlineStr">
        <is>
          <t>Appium toggles device airplane mode / network state</t>
        </is>
      </c>
      <c r="E131" s="17" t="inlineStr">
        <is>
          <t>1. Turn off device Wi-Fi/Cellular network
2. Perform telemetry log lookup in app
3. Re-enable network connection
4. Monitor background sync task</t>
        </is>
      </c>
      <c r="F131" s="17" t="inlineStr">
        <is>
          <t>Offline_Test_Variant=10</t>
        </is>
      </c>
      <c r="G131" s="17" t="inlineStr">
        <is>
          <t>App caches telemetry data locally SQLite/MMKV while offline and syncs automatically when network restores.</t>
        </is>
      </c>
      <c r="H131" s="16" t="inlineStr">
        <is>
          <t>Automated (Appium)</t>
        </is>
      </c>
      <c r="I131" s="16" t="inlineStr">
        <is>
          <t>P1</t>
        </is>
      </c>
      <c r="J131" s="16" t="inlineStr">
        <is>
          <t>High</t>
        </is>
      </c>
      <c r="K131" s="15" t="inlineStr">
        <is>
          <t>PASSED</t>
        </is>
      </c>
    </row>
    <row r="132" ht="20" customHeight="1">
      <c r="A132" s="13" t="inlineStr">
        <is>
          <t>TC_APP_131</t>
        </is>
      </c>
      <c r="B132" s="14" t="inlineStr">
        <is>
          <t>Offline Mode &amp; Local Cache Sync</t>
        </is>
      </c>
      <c r="C132" s="14" t="inlineStr">
        <is>
          <t>Verify offline data persistence &amp; auto-sync upon reconnection (Test #11)</t>
        </is>
      </c>
      <c r="D132" s="14" t="inlineStr">
        <is>
          <t>Appium toggles device airplane mode / network state</t>
        </is>
      </c>
      <c r="E132" s="14" t="inlineStr">
        <is>
          <t>1. Turn off device Wi-Fi/Cellular network
2. Perform telemetry log lookup in app
3. Re-enable network connection
4. Monitor background sync task</t>
        </is>
      </c>
      <c r="F132" s="14" t="inlineStr">
        <is>
          <t>Offline_Test_Variant=11</t>
        </is>
      </c>
      <c r="G132" s="14" t="inlineStr">
        <is>
          <t>App caches telemetry data locally SQLite/MMKV while offline and syncs automatically when network restores.</t>
        </is>
      </c>
      <c r="H132" s="13" t="inlineStr">
        <is>
          <t>Automated (Appium)</t>
        </is>
      </c>
      <c r="I132" s="13" t="inlineStr">
        <is>
          <t>P2</t>
        </is>
      </c>
      <c r="J132" s="13" t="inlineStr">
        <is>
          <t>High</t>
        </is>
      </c>
      <c r="K132" s="15" t="inlineStr">
        <is>
          <t>PASSED</t>
        </is>
      </c>
    </row>
    <row r="133" ht="20" customHeight="1">
      <c r="A133" s="16" t="inlineStr">
        <is>
          <t>TC_APP_132</t>
        </is>
      </c>
      <c r="B133" s="17" t="inlineStr">
        <is>
          <t>Offline Mode &amp; Local Cache Sync</t>
        </is>
      </c>
      <c r="C133" s="17" t="inlineStr">
        <is>
          <t>Verify offline data persistence &amp; auto-sync upon reconnection (Test #12)</t>
        </is>
      </c>
      <c r="D133" s="17" t="inlineStr">
        <is>
          <t>Appium toggles device airplane mode / network state</t>
        </is>
      </c>
      <c r="E133" s="17" t="inlineStr">
        <is>
          <t>1. Turn off device Wi-Fi/Cellular network
2. Perform telemetry log lookup in app
3. Re-enable network connection
4. Monitor background sync task</t>
        </is>
      </c>
      <c r="F133" s="17" t="inlineStr">
        <is>
          <t>Offline_Test_Variant=12</t>
        </is>
      </c>
      <c r="G133" s="17" t="inlineStr">
        <is>
          <t>App caches telemetry data locally SQLite/MMKV while offline and syncs automatically when network restores.</t>
        </is>
      </c>
      <c r="H133" s="16" t="inlineStr">
        <is>
          <t>Automated (Appium)</t>
        </is>
      </c>
      <c r="I133" s="16" t="inlineStr">
        <is>
          <t>P2</t>
        </is>
      </c>
      <c r="J133" s="16" t="inlineStr">
        <is>
          <t>High</t>
        </is>
      </c>
      <c r="K133" s="15" t="inlineStr">
        <is>
          <t>PASSED</t>
        </is>
      </c>
    </row>
    <row r="134" ht="20" customHeight="1">
      <c r="A134" s="13" t="inlineStr">
        <is>
          <t>TC_APP_133</t>
        </is>
      </c>
      <c r="B134" s="14" t="inlineStr">
        <is>
          <t>Offline Mode &amp; Local Cache Sync</t>
        </is>
      </c>
      <c r="C134" s="14" t="inlineStr">
        <is>
          <t>Verify offline data persistence &amp; auto-sync upon reconnection (Test #13)</t>
        </is>
      </c>
      <c r="D134" s="14" t="inlineStr">
        <is>
          <t>Appium toggles device airplane mode / network state</t>
        </is>
      </c>
      <c r="E134" s="14" t="inlineStr">
        <is>
          <t>1. Turn off device Wi-Fi/Cellular network
2. Perform telemetry log lookup in app
3. Re-enable network connection
4. Monitor background sync task</t>
        </is>
      </c>
      <c r="F134" s="14" t="inlineStr">
        <is>
          <t>Offline_Test_Variant=13</t>
        </is>
      </c>
      <c r="G134" s="14" t="inlineStr">
        <is>
          <t>App caches telemetry data locally SQLite/MMKV while offline and syncs automatically when network restores.</t>
        </is>
      </c>
      <c r="H134" s="13" t="inlineStr">
        <is>
          <t>Automated (Appium)</t>
        </is>
      </c>
      <c r="I134" s="13" t="inlineStr">
        <is>
          <t>P2</t>
        </is>
      </c>
      <c r="J134" s="13" t="inlineStr">
        <is>
          <t>High</t>
        </is>
      </c>
      <c r="K134" s="15" t="inlineStr">
        <is>
          <t>AUTOMATED</t>
        </is>
      </c>
    </row>
    <row r="135" ht="20" customHeight="1">
      <c r="A135" s="16" t="inlineStr">
        <is>
          <t>TC_APP_134</t>
        </is>
      </c>
      <c r="B135" s="17" t="inlineStr">
        <is>
          <t>Offline Mode &amp; Local Cache Sync</t>
        </is>
      </c>
      <c r="C135" s="17" t="inlineStr">
        <is>
          <t>Verify offline data persistence &amp; auto-sync upon reconnection (Test #14)</t>
        </is>
      </c>
      <c r="D135" s="17" t="inlineStr">
        <is>
          <t>Appium toggles device airplane mode / network state</t>
        </is>
      </c>
      <c r="E135" s="17" t="inlineStr">
        <is>
          <t>1. Turn off device Wi-Fi/Cellular network
2. Perform telemetry log lookup in app
3. Re-enable network connection
4. Monitor background sync task</t>
        </is>
      </c>
      <c r="F135" s="17" t="inlineStr">
        <is>
          <t>Offline_Test_Variant=14</t>
        </is>
      </c>
      <c r="G135" s="17" t="inlineStr">
        <is>
          <t>App caches telemetry data locally SQLite/MMKV while offline and syncs automatically when network restores.</t>
        </is>
      </c>
      <c r="H135" s="16" t="inlineStr">
        <is>
          <t>Automated (Appium)</t>
        </is>
      </c>
      <c r="I135" s="16" t="inlineStr">
        <is>
          <t>P2</t>
        </is>
      </c>
      <c r="J135" s="16" t="inlineStr">
        <is>
          <t>High</t>
        </is>
      </c>
      <c r="K135" s="15" t="inlineStr">
        <is>
          <t>AUTOMATED</t>
        </is>
      </c>
    </row>
    <row r="136" ht="20" customHeight="1">
      <c r="A136" s="13" t="inlineStr">
        <is>
          <t>TC_APP_135</t>
        </is>
      </c>
      <c r="B136" s="14" t="inlineStr">
        <is>
          <t>Offline Mode &amp; Local Cache Sync</t>
        </is>
      </c>
      <c r="C136" s="14" t="inlineStr">
        <is>
          <t>Verify offline data persistence &amp; auto-sync upon reconnection (Test #15)</t>
        </is>
      </c>
      <c r="D136" s="14" t="inlineStr">
        <is>
          <t>Appium toggles device airplane mode / network state</t>
        </is>
      </c>
      <c r="E136" s="14" t="inlineStr">
        <is>
          <t>1. Turn off device Wi-Fi/Cellular network
2. Perform telemetry log lookup in app
3. Re-enable network connection
4. Monitor background sync task</t>
        </is>
      </c>
      <c r="F136" s="14" t="inlineStr">
        <is>
          <t>Offline_Test_Variant=15</t>
        </is>
      </c>
      <c r="G136" s="14" t="inlineStr">
        <is>
          <t>App caches telemetry data locally SQLite/MMKV while offline and syncs automatically when network restores.</t>
        </is>
      </c>
      <c r="H136" s="13" t="inlineStr">
        <is>
          <t>Automated (Appium)</t>
        </is>
      </c>
      <c r="I136" s="13" t="inlineStr">
        <is>
          <t>P2</t>
        </is>
      </c>
      <c r="J136" s="13" t="inlineStr">
        <is>
          <t>High</t>
        </is>
      </c>
      <c r="K136" s="15" t="inlineStr">
        <is>
          <t>AUTOMATED</t>
        </is>
      </c>
    </row>
    <row r="137" ht="20" customHeight="1">
      <c r="A137" s="16" t="inlineStr">
        <is>
          <t>TC_APP_136</t>
        </is>
      </c>
      <c r="B137" s="17" t="inlineStr">
        <is>
          <t>Offline Mode &amp; Local Cache Sync</t>
        </is>
      </c>
      <c r="C137" s="17" t="inlineStr">
        <is>
          <t>Verify offline data persistence &amp; auto-sync upon reconnection (Test #16)</t>
        </is>
      </c>
      <c r="D137" s="17" t="inlineStr">
        <is>
          <t>Appium toggles device airplane mode / network state</t>
        </is>
      </c>
      <c r="E137" s="17" t="inlineStr">
        <is>
          <t>1. Turn off device Wi-Fi/Cellular network
2. Perform telemetry log lookup in app
3. Re-enable network connection
4. Monitor background sync task</t>
        </is>
      </c>
      <c r="F137" s="17" t="inlineStr">
        <is>
          <t>Offline_Test_Variant=16</t>
        </is>
      </c>
      <c r="G137" s="17" t="inlineStr">
        <is>
          <t>App caches telemetry data locally SQLite/MMKV while offline and syncs automatically when network restores.</t>
        </is>
      </c>
      <c r="H137" s="16" t="inlineStr">
        <is>
          <t>Automated (Appium)</t>
        </is>
      </c>
      <c r="I137" s="16" t="inlineStr">
        <is>
          <t>P2</t>
        </is>
      </c>
      <c r="J137" s="16" t="inlineStr">
        <is>
          <t>High</t>
        </is>
      </c>
      <c r="K137" s="15" t="inlineStr">
        <is>
          <t>AUTOMATED</t>
        </is>
      </c>
    </row>
    <row r="138" ht="20" customHeight="1">
      <c r="A138" s="13" t="inlineStr">
        <is>
          <t>TC_APP_137</t>
        </is>
      </c>
      <c r="B138" s="14" t="inlineStr">
        <is>
          <t>Offline Mode &amp; Local Cache Sync</t>
        </is>
      </c>
      <c r="C138" s="14" t="inlineStr">
        <is>
          <t>Verify offline data persistence &amp; auto-sync upon reconnection (Test #17)</t>
        </is>
      </c>
      <c r="D138" s="14" t="inlineStr">
        <is>
          <t>Appium toggles device airplane mode / network state</t>
        </is>
      </c>
      <c r="E138" s="14" t="inlineStr">
        <is>
          <t>1. Turn off device Wi-Fi/Cellular network
2. Perform telemetry log lookup in app
3. Re-enable network connection
4. Monitor background sync task</t>
        </is>
      </c>
      <c r="F138" s="14" t="inlineStr">
        <is>
          <t>Offline_Test_Variant=17</t>
        </is>
      </c>
      <c r="G138" s="14" t="inlineStr">
        <is>
          <t>App caches telemetry data locally SQLite/MMKV while offline and syncs automatically when network restores.</t>
        </is>
      </c>
      <c r="H138" s="13" t="inlineStr">
        <is>
          <t>Automated (Appium)</t>
        </is>
      </c>
      <c r="I138" s="13" t="inlineStr">
        <is>
          <t>P2</t>
        </is>
      </c>
      <c r="J138" s="13" t="inlineStr">
        <is>
          <t>High</t>
        </is>
      </c>
      <c r="K138" s="15" t="inlineStr">
        <is>
          <t>AUTOMATED</t>
        </is>
      </c>
    </row>
    <row r="139" ht="20" customHeight="1">
      <c r="A139" s="16" t="inlineStr">
        <is>
          <t>TC_APP_138</t>
        </is>
      </c>
      <c r="B139" s="17" t="inlineStr">
        <is>
          <t>Offline Mode &amp; Local Cache Sync</t>
        </is>
      </c>
      <c r="C139" s="17" t="inlineStr">
        <is>
          <t>Verify offline data persistence &amp; auto-sync upon reconnection (Test #18)</t>
        </is>
      </c>
      <c r="D139" s="17" t="inlineStr">
        <is>
          <t>Appium toggles device airplane mode / network state</t>
        </is>
      </c>
      <c r="E139" s="17" t="inlineStr">
        <is>
          <t>1. Turn off device Wi-Fi/Cellular network
2. Perform telemetry log lookup in app
3. Re-enable network connection
4. Monitor background sync task</t>
        </is>
      </c>
      <c r="F139" s="17" t="inlineStr">
        <is>
          <t>Offline_Test_Variant=18</t>
        </is>
      </c>
      <c r="G139" s="17" t="inlineStr">
        <is>
          <t>App caches telemetry data locally SQLite/MMKV while offline and syncs automatically when network restores.</t>
        </is>
      </c>
      <c r="H139" s="16" t="inlineStr">
        <is>
          <t>Automated (Appium)</t>
        </is>
      </c>
      <c r="I139" s="16" t="inlineStr">
        <is>
          <t>P2</t>
        </is>
      </c>
      <c r="J139" s="16" t="inlineStr">
        <is>
          <t>High</t>
        </is>
      </c>
      <c r="K139" s="15" t="inlineStr">
        <is>
          <t>AUTOMATED</t>
        </is>
      </c>
    </row>
    <row r="140" ht="20" customHeight="1">
      <c r="A140" s="13" t="inlineStr">
        <is>
          <t>TC_APP_139</t>
        </is>
      </c>
      <c r="B140" s="14" t="inlineStr">
        <is>
          <t>Offline Mode &amp; Local Cache Sync</t>
        </is>
      </c>
      <c r="C140" s="14" t="inlineStr">
        <is>
          <t>Verify offline data persistence &amp; auto-sync upon reconnection (Test #19)</t>
        </is>
      </c>
      <c r="D140" s="14" t="inlineStr">
        <is>
          <t>Appium toggles device airplane mode / network state</t>
        </is>
      </c>
      <c r="E140" s="14" t="inlineStr">
        <is>
          <t>1. Turn off device Wi-Fi/Cellular network
2. Perform telemetry log lookup in app
3. Re-enable network connection
4. Monitor background sync task</t>
        </is>
      </c>
      <c r="F140" s="14" t="inlineStr">
        <is>
          <t>Offline_Test_Variant=19</t>
        </is>
      </c>
      <c r="G140" s="14" t="inlineStr">
        <is>
          <t>App caches telemetry data locally SQLite/MMKV while offline and syncs automatically when network restores.</t>
        </is>
      </c>
      <c r="H140" s="13" t="inlineStr">
        <is>
          <t>Automated (Appium)</t>
        </is>
      </c>
      <c r="I140" s="13" t="inlineStr">
        <is>
          <t>P2</t>
        </is>
      </c>
      <c r="J140" s="13" t="inlineStr">
        <is>
          <t>High</t>
        </is>
      </c>
      <c r="K140" s="15" t="inlineStr">
        <is>
          <t>AUTOMATED</t>
        </is>
      </c>
    </row>
    <row r="141" ht="20" customHeight="1">
      <c r="A141" s="16" t="inlineStr">
        <is>
          <t>TC_APP_140</t>
        </is>
      </c>
      <c r="B141" s="17" t="inlineStr">
        <is>
          <t>Offline Mode &amp; Local Cache Sync</t>
        </is>
      </c>
      <c r="C141" s="17" t="inlineStr">
        <is>
          <t>Verify offline data persistence &amp; auto-sync upon reconnection (Test #20)</t>
        </is>
      </c>
      <c r="D141" s="17" t="inlineStr">
        <is>
          <t>Appium toggles device airplane mode / network state</t>
        </is>
      </c>
      <c r="E141" s="17" t="inlineStr">
        <is>
          <t>1. Turn off device Wi-Fi/Cellular network
2. Perform telemetry log lookup in app
3. Re-enable network connection
4. Monitor background sync task</t>
        </is>
      </c>
      <c r="F141" s="17" t="inlineStr">
        <is>
          <t>Offline_Test_Variant=20</t>
        </is>
      </c>
      <c r="G141" s="17" t="inlineStr">
        <is>
          <t>App caches telemetry data locally SQLite/MMKV while offline and syncs automatically when network restores.</t>
        </is>
      </c>
      <c r="H141" s="16" t="inlineStr">
        <is>
          <t>Automated (Appium)</t>
        </is>
      </c>
      <c r="I141" s="16" t="inlineStr">
        <is>
          <t>P2</t>
        </is>
      </c>
      <c r="J141" s="16" t="inlineStr">
        <is>
          <t>High</t>
        </is>
      </c>
      <c r="K141" s="15" t="inlineStr">
        <is>
          <t>AUTOMATED</t>
        </is>
      </c>
    </row>
    <row r="142" ht="20" customHeight="1">
      <c r="A142" s="13" t="inlineStr">
        <is>
          <t>TC_APP_141</t>
        </is>
      </c>
      <c r="B142" s="14" t="inlineStr">
        <is>
          <t>Offline Mode &amp; Local Cache Sync</t>
        </is>
      </c>
      <c r="C142" s="14" t="inlineStr">
        <is>
          <t>Verify offline data persistence &amp; auto-sync upon reconnection (Test #21)</t>
        </is>
      </c>
      <c r="D142" s="14" t="inlineStr">
        <is>
          <t>Appium toggles device airplane mode / network state</t>
        </is>
      </c>
      <c r="E142" s="14" t="inlineStr">
        <is>
          <t>1. Turn off device Wi-Fi/Cellular network
2. Perform telemetry log lookup in app
3. Re-enable network connection
4. Monitor background sync task</t>
        </is>
      </c>
      <c r="F142" s="14" t="inlineStr">
        <is>
          <t>Offline_Test_Variant=21</t>
        </is>
      </c>
      <c r="G142" s="14" t="inlineStr">
        <is>
          <t>App caches telemetry data locally SQLite/MMKV while offline and syncs automatically when network restores.</t>
        </is>
      </c>
      <c r="H142" s="13" t="inlineStr">
        <is>
          <t>Automated (Appium)</t>
        </is>
      </c>
      <c r="I142" s="13" t="inlineStr">
        <is>
          <t>P2</t>
        </is>
      </c>
      <c r="J142" s="13" t="inlineStr">
        <is>
          <t>High</t>
        </is>
      </c>
      <c r="K142" s="15" t="inlineStr">
        <is>
          <t>AUTOMATED</t>
        </is>
      </c>
    </row>
    <row r="143" ht="20" customHeight="1">
      <c r="A143" s="16" t="inlineStr">
        <is>
          <t>TC_APP_142</t>
        </is>
      </c>
      <c r="B143" s="17" t="inlineStr">
        <is>
          <t>Offline Mode &amp; Local Cache Sync</t>
        </is>
      </c>
      <c r="C143" s="17" t="inlineStr">
        <is>
          <t>Verify offline data persistence &amp; auto-sync upon reconnection (Test #22)</t>
        </is>
      </c>
      <c r="D143" s="17" t="inlineStr">
        <is>
          <t>Appium toggles device airplane mode / network state</t>
        </is>
      </c>
      <c r="E143" s="17" t="inlineStr">
        <is>
          <t>1. Turn off device Wi-Fi/Cellular network
2. Perform telemetry log lookup in app
3. Re-enable network connection
4. Monitor background sync task</t>
        </is>
      </c>
      <c r="F143" s="17" t="inlineStr">
        <is>
          <t>Offline_Test_Variant=22</t>
        </is>
      </c>
      <c r="G143" s="17" t="inlineStr">
        <is>
          <t>App caches telemetry data locally SQLite/MMKV while offline and syncs automatically when network restores.</t>
        </is>
      </c>
      <c r="H143" s="16" t="inlineStr">
        <is>
          <t>Automated (Appium)</t>
        </is>
      </c>
      <c r="I143" s="16" t="inlineStr">
        <is>
          <t>P2</t>
        </is>
      </c>
      <c r="J143" s="16" t="inlineStr">
        <is>
          <t>High</t>
        </is>
      </c>
      <c r="K143" s="15" t="inlineStr">
        <is>
          <t>AUTOMATED</t>
        </is>
      </c>
    </row>
    <row r="144" ht="20" customHeight="1">
      <c r="A144" s="13" t="inlineStr">
        <is>
          <t>TC_APP_143</t>
        </is>
      </c>
      <c r="B144" s="14" t="inlineStr">
        <is>
          <t>Offline Mode &amp; Local Cache Sync</t>
        </is>
      </c>
      <c r="C144" s="14" t="inlineStr">
        <is>
          <t>Verify offline data persistence &amp; auto-sync upon reconnection (Test #23)</t>
        </is>
      </c>
      <c r="D144" s="14" t="inlineStr">
        <is>
          <t>Appium toggles device airplane mode / network state</t>
        </is>
      </c>
      <c r="E144" s="14" t="inlineStr">
        <is>
          <t>1. Turn off device Wi-Fi/Cellular network
2. Perform telemetry log lookup in app
3. Re-enable network connection
4. Monitor background sync task</t>
        </is>
      </c>
      <c r="F144" s="14" t="inlineStr">
        <is>
          <t>Offline_Test_Variant=23</t>
        </is>
      </c>
      <c r="G144" s="14" t="inlineStr">
        <is>
          <t>App caches telemetry data locally SQLite/MMKV while offline and syncs automatically when network restores.</t>
        </is>
      </c>
      <c r="H144" s="13" t="inlineStr">
        <is>
          <t>Automated (Appium)</t>
        </is>
      </c>
      <c r="I144" s="13" t="inlineStr">
        <is>
          <t>P2</t>
        </is>
      </c>
      <c r="J144" s="13" t="inlineStr">
        <is>
          <t>High</t>
        </is>
      </c>
      <c r="K144" s="15" t="inlineStr">
        <is>
          <t>AUTOMATED</t>
        </is>
      </c>
    </row>
    <row r="145" ht="20" customHeight="1">
      <c r="A145" s="16" t="inlineStr">
        <is>
          <t>TC_APP_144</t>
        </is>
      </c>
      <c r="B145" s="17" t="inlineStr">
        <is>
          <t>Offline Mode &amp; Local Cache Sync</t>
        </is>
      </c>
      <c r="C145" s="17" t="inlineStr">
        <is>
          <t>Verify offline data persistence &amp; auto-sync upon reconnection (Test #24)</t>
        </is>
      </c>
      <c r="D145" s="17" t="inlineStr">
        <is>
          <t>Appium toggles device airplane mode / network state</t>
        </is>
      </c>
      <c r="E145" s="17" t="inlineStr">
        <is>
          <t>1. Turn off device Wi-Fi/Cellular network
2. Perform telemetry log lookup in app
3. Re-enable network connection
4. Monitor background sync task</t>
        </is>
      </c>
      <c r="F145" s="17" t="inlineStr">
        <is>
          <t>Offline_Test_Variant=24</t>
        </is>
      </c>
      <c r="G145" s="17" t="inlineStr">
        <is>
          <t>App caches telemetry data locally SQLite/MMKV while offline and syncs automatically when network restores.</t>
        </is>
      </c>
      <c r="H145" s="16" t="inlineStr">
        <is>
          <t>Automated (Appium)</t>
        </is>
      </c>
      <c r="I145" s="16" t="inlineStr">
        <is>
          <t>P2</t>
        </is>
      </c>
      <c r="J145" s="16" t="inlineStr">
        <is>
          <t>High</t>
        </is>
      </c>
      <c r="K145" s="15" t="inlineStr">
        <is>
          <t>AUTOMATED</t>
        </is>
      </c>
    </row>
    <row r="146" ht="20" customHeight="1">
      <c r="A146" s="13" t="inlineStr">
        <is>
          <t>TC_APP_145</t>
        </is>
      </c>
      <c r="B146" s="14" t="inlineStr">
        <is>
          <t>Offline Mode &amp; Local Cache Sync</t>
        </is>
      </c>
      <c r="C146" s="14" t="inlineStr">
        <is>
          <t>Verify offline data persistence &amp; auto-sync upon reconnection (Test #25)</t>
        </is>
      </c>
      <c r="D146" s="14" t="inlineStr">
        <is>
          <t>Appium toggles device airplane mode / network state</t>
        </is>
      </c>
      <c r="E146" s="14" t="inlineStr">
        <is>
          <t>1. Turn off device Wi-Fi/Cellular network
2. Perform telemetry log lookup in app
3. Re-enable network connection
4. Monitor background sync task</t>
        </is>
      </c>
      <c r="F146" s="14" t="inlineStr">
        <is>
          <t>Offline_Test_Variant=25</t>
        </is>
      </c>
      <c r="G146" s="14" t="inlineStr">
        <is>
          <t>App caches telemetry data locally SQLite/MMKV while offline and syncs automatically when network restores.</t>
        </is>
      </c>
      <c r="H146" s="13" t="inlineStr">
        <is>
          <t>Automated (Appium)</t>
        </is>
      </c>
      <c r="I146" s="13" t="inlineStr">
        <is>
          <t>P2</t>
        </is>
      </c>
      <c r="J146" s="13" t="inlineStr">
        <is>
          <t>High</t>
        </is>
      </c>
      <c r="K146" s="15" t="inlineStr">
        <is>
          <t>AUTOMATED</t>
        </is>
      </c>
    </row>
    <row r="147" ht="20" customHeight="1">
      <c r="A147" s="16" t="inlineStr">
        <is>
          <t>TC_APP_146</t>
        </is>
      </c>
      <c r="B147" s="17" t="inlineStr">
        <is>
          <t>Push Notifications &amp; Alert Triggers</t>
        </is>
      </c>
      <c r="C147" s="17" t="inlineStr">
        <is>
          <t>Verify mobile push notification for CRITICAL threat alert #1</t>
        </is>
      </c>
      <c r="D147" s="17" t="inlineStr">
        <is>
          <t>Push notification permissions granted</t>
        </is>
      </c>
      <c r="E147" s="17" t="inlineStr">
        <is>
          <t>1. Trigger mock backend threat alert (CRITICAL)
2. Verify system notification banner appearance
3. Tap notification banner to open app</t>
        </is>
      </c>
      <c r="F147" s="17" t="inlineStr">
        <is>
          <t>Alert_Severity=CRITICAL, Alert_ID=ALT_001</t>
        </is>
      </c>
      <c r="G147" s="17" t="inlineStr">
        <is>
          <t>Mobile OS displays push notification card; tapping opens app directly to the alerted IP details screen.</t>
        </is>
      </c>
      <c r="H147" s="16" t="inlineStr">
        <is>
          <t>Automated (Appium)</t>
        </is>
      </c>
      <c r="I147" s="16" t="inlineStr">
        <is>
          <t>P1</t>
        </is>
      </c>
      <c r="J147" s="16" t="inlineStr">
        <is>
          <t>Critical</t>
        </is>
      </c>
      <c r="K147" s="15" t="inlineStr">
        <is>
          <t>PASSED</t>
        </is>
      </c>
    </row>
    <row r="148" ht="20" customHeight="1">
      <c r="A148" s="13" t="inlineStr">
        <is>
          <t>TC_APP_147</t>
        </is>
      </c>
      <c r="B148" s="14" t="inlineStr">
        <is>
          <t>Push Notifications &amp; Alert Triggers</t>
        </is>
      </c>
      <c r="C148" s="14" t="inlineStr">
        <is>
          <t>Verify mobile push notification for CRITICAL threat alert #2</t>
        </is>
      </c>
      <c r="D148" s="14" t="inlineStr">
        <is>
          <t>Push notification permissions granted</t>
        </is>
      </c>
      <c r="E148" s="14" t="inlineStr">
        <is>
          <t>1. Trigger mock backend threat alert (CRITICAL)
2. Verify system notification banner appearance
3. Tap notification banner to open app</t>
        </is>
      </c>
      <c r="F148" s="14" t="inlineStr">
        <is>
          <t>Alert_Severity=CRITICAL, Alert_ID=ALT_002</t>
        </is>
      </c>
      <c r="G148" s="14" t="inlineStr">
        <is>
          <t>Mobile OS displays push notification card; tapping opens app directly to the alerted IP details screen.</t>
        </is>
      </c>
      <c r="H148" s="13" t="inlineStr">
        <is>
          <t>Automated (Appium)</t>
        </is>
      </c>
      <c r="I148" s="13" t="inlineStr">
        <is>
          <t>P1</t>
        </is>
      </c>
      <c r="J148" s="13" t="inlineStr">
        <is>
          <t>Critical</t>
        </is>
      </c>
      <c r="K148" s="15" t="inlineStr">
        <is>
          <t>PASSED</t>
        </is>
      </c>
    </row>
    <row r="149" ht="20" customHeight="1">
      <c r="A149" s="16" t="inlineStr">
        <is>
          <t>TC_APP_148</t>
        </is>
      </c>
      <c r="B149" s="17" t="inlineStr">
        <is>
          <t>Push Notifications &amp; Alert Triggers</t>
        </is>
      </c>
      <c r="C149" s="17" t="inlineStr">
        <is>
          <t>Verify mobile push notification for CRITICAL threat alert #3</t>
        </is>
      </c>
      <c r="D149" s="17" t="inlineStr">
        <is>
          <t>Push notification permissions granted</t>
        </is>
      </c>
      <c r="E149" s="17" t="inlineStr">
        <is>
          <t>1. Trigger mock backend threat alert (CRITICAL)
2. Verify system notification banner appearance
3. Tap notification banner to open app</t>
        </is>
      </c>
      <c r="F149" s="17" t="inlineStr">
        <is>
          <t>Alert_Severity=CRITICAL, Alert_ID=ALT_003</t>
        </is>
      </c>
      <c r="G149" s="17" t="inlineStr">
        <is>
          <t>Mobile OS displays push notification card; tapping opens app directly to the alerted IP details screen.</t>
        </is>
      </c>
      <c r="H149" s="16" t="inlineStr">
        <is>
          <t>Automated (Appium)</t>
        </is>
      </c>
      <c r="I149" s="16" t="inlineStr">
        <is>
          <t>P1</t>
        </is>
      </c>
      <c r="J149" s="16" t="inlineStr">
        <is>
          <t>Critical</t>
        </is>
      </c>
      <c r="K149" s="15" t="inlineStr">
        <is>
          <t>PASSED</t>
        </is>
      </c>
    </row>
    <row r="150" ht="20" customHeight="1">
      <c r="A150" s="13" t="inlineStr">
        <is>
          <t>TC_APP_149</t>
        </is>
      </c>
      <c r="B150" s="14" t="inlineStr">
        <is>
          <t>Push Notifications &amp; Alert Triggers</t>
        </is>
      </c>
      <c r="C150" s="14" t="inlineStr">
        <is>
          <t>Verify mobile push notification for CRITICAL threat alert #4</t>
        </is>
      </c>
      <c r="D150" s="14" t="inlineStr">
        <is>
          <t>Push notification permissions granted</t>
        </is>
      </c>
      <c r="E150" s="14" t="inlineStr">
        <is>
          <t>1. Trigger mock backend threat alert (CRITICAL)
2. Verify system notification banner appearance
3. Tap notification banner to open app</t>
        </is>
      </c>
      <c r="F150" s="14" t="inlineStr">
        <is>
          <t>Alert_Severity=CRITICAL, Alert_ID=ALT_004</t>
        </is>
      </c>
      <c r="G150" s="14" t="inlineStr">
        <is>
          <t>Mobile OS displays push notification card; tapping opens app directly to the alerted IP details screen.</t>
        </is>
      </c>
      <c r="H150" s="13" t="inlineStr">
        <is>
          <t>Automated (Appium)</t>
        </is>
      </c>
      <c r="I150" s="13" t="inlineStr">
        <is>
          <t>P1</t>
        </is>
      </c>
      <c r="J150" s="13" t="inlineStr">
        <is>
          <t>Critical</t>
        </is>
      </c>
      <c r="K150" s="15" t="inlineStr">
        <is>
          <t>PASSED</t>
        </is>
      </c>
    </row>
    <row r="151" ht="20" customHeight="1">
      <c r="A151" s="16" t="inlineStr">
        <is>
          <t>TC_APP_150</t>
        </is>
      </c>
      <c r="B151" s="17" t="inlineStr">
        <is>
          <t>Push Notifications &amp; Alert Triggers</t>
        </is>
      </c>
      <c r="C151" s="17" t="inlineStr">
        <is>
          <t>Verify mobile push notification for CRITICAL threat alert #5</t>
        </is>
      </c>
      <c r="D151" s="17" t="inlineStr">
        <is>
          <t>Push notification permissions granted</t>
        </is>
      </c>
      <c r="E151" s="17" t="inlineStr">
        <is>
          <t>1. Trigger mock backend threat alert (CRITICAL)
2. Verify system notification banner appearance
3. Tap notification banner to open app</t>
        </is>
      </c>
      <c r="F151" s="17" t="inlineStr">
        <is>
          <t>Alert_Severity=CRITICAL, Alert_ID=ALT_005</t>
        </is>
      </c>
      <c r="G151" s="17" t="inlineStr">
        <is>
          <t>Mobile OS displays push notification card; tapping opens app directly to the alerted IP details screen.</t>
        </is>
      </c>
      <c r="H151" s="16" t="inlineStr">
        <is>
          <t>Automated (Appium)</t>
        </is>
      </c>
      <c r="I151" s="16" t="inlineStr">
        <is>
          <t>P1</t>
        </is>
      </c>
      <c r="J151" s="16" t="inlineStr">
        <is>
          <t>Critical</t>
        </is>
      </c>
      <c r="K151" s="15" t="inlineStr">
        <is>
          <t>PASSED</t>
        </is>
      </c>
    </row>
    <row r="152" ht="20" customHeight="1">
      <c r="A152" s="13" t="inlineStr">
        <is>
          <t>TC_APP_151</t>
        </is>
      </c>
      <c r="B152" s="14" t="inlineStr">
        <is>
          <t>Push Notifications &amp; Alert Triggers</t>
        </is>
      </c>
      <c r="C152" s="14" t="inlineStr">
        <is>
          <t>Verify mobile push notification for CRITICAL threat alert #6</t>
        </is>
      </c>
      <c r="D152" s="14" t="inlineStr">
        <is>
          <t>Push notification permissions granted</t>
        </is>
      </c>
      <c r="E152" s="14" t="inlineStr">
        <is>
          <t>1. Trigger mock backend threat alert (CRITICAL)
2. Verify system notification banner appearance
3. Tap notification banner to open app</t>
        </is>
      </c>
      <c r="F152" s="14" t="inlineStr">
        <is>
          <t>Alert_Severity=CRITICAL, Alert_ID=ALT_006</t>
        </is>
      </c>
      <c r="G152" s="14" t="inlineStr">
        <is>
          <t>Mobile OS displays push notification card; tapping opens app directly to the alerted IP details screen.</t>
        </is>
      </c>
      <c r="H152" s="13" t="inlineStr">
        <is>
          <t>Automated (Appium)</t>
        </is>
      </c>
      <c r="I152" s="13" t="inlineStr">
        <is>
          <t>P1</t>
        </is>
      </c>
      <c r="J152" s="13" t="inlineStr">
        <is>
          <t>Critical</t>
        </is>
      </c>
      <c r="K152" s="15" t="inlineStr">
        <is>
          <t>PASSED</t>
        </is>
      </c>
    </row>
    <row r="153" ht="20" customHeight="1">
      <c r="A153" s="16" t="inlineStr">
        <is>
          <t>TC_APP_152</t>
        </is>
      </c>
      <c r="B153" s="17" t="inlineStr">
        <is>
          <t>Push Notifications &amp; Alert Triggers</t>
        </is>
      </c>
      <c r="C153" s="17" t="inlineStr">
        <is>
          <t>Verify mobile push notification for CRITICAL threat alert #7</t>
        </is>
      </c>
      <c r="D153" s="17" t="inlineStr">
        <is>
          <t>Push notification permissions granted</t>
        </is>
      </c>
      <c r="E153" s="17" t="inlineStr">
        <is>
          <t>1. Trigger mock backend threat alert (CRITICAL)
2. Verify system notification banner appearance
3. Tap notification banner to open app</t>
        </is>
      </c>
      <c r="F153" s="17" t="inlineStr">
        <is>
          <t>Alert_Severity=CRITICAL, Alert_ID=ALT_007</t>
        </is>
      </c>
      <c r="G153" s="17" t="inlineStr">
        <is>
          <t>Mobile OS displays push notification card; tapping opens app directly to the alerted IP details screen.</t>
        </is>
      </c>
      <c r="H153" s="16" t="inlineStr">
        <is>
          <t>Automated (Appium)</t>
        </is>
      </c>
      <c r="I153" s="16" t="inlineStr">
        <is>
          <t>P1</t>
        </is>
      </c>
      <c r="J153" s="16" t="inlineStr">
        <is>
          <t>Critical</t>
        </is>
      </c>
      <c r="K153" s="15" t="inlineStr">
        <is>
          <t>PASSED</t>
        </is>
      </c>
    </row>
    <row r="154" ht="20" customHeight="1">
      <c r="A154" s="13" t="inlineStr">
        <is>
          <t>TC_APP_153</t>
        </is>
      </c>
      <c r="B154" s="14" t="inlineStr">
        <is>
          <t>Push Notifications &amp; Alert Triggers</t>
        </is>
      </c>
      <c r="C154" s="14" t="inlineStr">
        <is>
          <t>Verify mobile push notification for CRITICAL threat alert #8</t>
        </is>
      </c>
      <c r="D154" s="14" t="inlineStr">
        <is>
          <t>Push notification permissions granted</t>
        </is>
      </c>
      <c r="E154" s="14" t="inlineStr">
        <is>
          <t>1. Trigger mock backend threat alert (CRITICAL)
2. Verify system notification banner appearance
3. Tap notification banner to open app</t>
        </is>
      </c>
      <c r="F154" s="14" t="inlineStr">
        <is>
          <t>Alert_Severity=CRITICAL, Alert_ID=ALT_008</t>
        </is>
      </c>
      <c r="G154" s="14" t="inlineStr">
        <is>
          <t>Mobile OS displays push notification card; tapping opens app directly to the alerted IP details screen.</t>
        </is>
      </c>
      <c r="H154" s="13" t="inlineStr">
        <is>
          <t>Automated (Appium)</t>
        </is>
      </c>
      <c r="I154" s="13" t="inlineStr">
        <is>
          <t>P1</t>
        </is>
      </c>
      <c r="J154" s="13" t="inlineStr">
        <is>
          <t>Critical</t>
        </is>
      </c>
      <c r="K154" s="15" t="inlineStr">
        <is>
          <t>PASSED</t>
        </is>
      </c>
    </row>
    <row r="155" ht="20" customHeight="1">
      <c r="A155" s="16" t="inlineStr">
        <is>
          <t>TC_APP_154</t>
        </is>
      </c>
      <c r="B155" s="17" t="inlineStr">
        <is>
          <t>Push Notifications &amp; Alert Triggers</t>
        </is>
      </c>
      <c r="C155" s="17" t="inlineStr">
        <is>
          <t>Verify mobile push notification for CRITICAL threat alert #9</t>
        </is>
      </c>
      <c r="D155" s="17" t="inlineStr">
        <is>
          <t>Push notification permissions granted</t>
        </is>
      </c>
      <c r="E155" s="17" t="inlineStr">
        <is>
          <t>1. Trigger mock backend threat alert (CRITICAL)
2. Verify system notification banner appearance
3. Tap notification banner to open app</t>
        </is>
      </c>
      <c r="F155" s="17" t="inlineStr">
        <is>
          <t>Alert_Severity=CRITICAL, Alert_ID=ALT_009</t>
        </is>
      </c>
      <c r="G155" s="17" t="inlineStr">
        <is>
          <t>Mobile OS displays push notification card; tapping opens app directly to the alerted IP details screen.</t>
        </is>
      </c>
      <c r="H155" s="16" t="inlineStr">
        <is>
          <t>Automated (Appium)</t>
        </is>
      </c>
      <c r="I155" s="16" t="inlineStr">
        <is>
          <t>P1</t>
        </is>
      </c>
      <c r="J155" s="16" t="inlineStr">
        <is>
          <t>Critical</t>
        </is>
      </c>
      <c r="K155" s="15" t="inlineStr">
        <is>
          <t>PASSED</t>
        </is>
      </c>
    </row>
    <row r="156" ht="20" customHeight="1">
      <c r="A156" s="13" t="inlineStr">
        <is>
          <t>TC_APP_155</t>
        </is>
      </c>
      <c r="B156" s="14" t="inlineStr">
        <is>
          <t>Push Notifications &amp; Alert Triggers</t>
        </is>
      </c>
      <c r="C156" s="14" t="inlineStr">
        <is>
          <t>Verify mobile push notification for CRITICAL threat alert #10</t>
        </is>
      </c>
      <c r="D156" s="14" t="inlineStr">
        <is>
          <t>Push notification permissions granted</t>
        </is>
      </c>
      <c r="E156" s="14" t="inlineStr">
        <is>
          <t>1. Trigger mock backend threat alert (CRITICAL)
2. Verify system notification banner appearance
3. Tap notification banner to open app</t>
        </is>
      </c>
      <c r="F156" s="14" t="inlineStr">
        <is>
          <t>Alert_Severity=CRITICAL, Alert_ID=ALT_010</t>
        </is>
      </c>
      <c r="G156" s="14" t="inlineStr">
        <is>
          <t>Mobile OS displays push notification card; tapping opens app directly to the alerted IP details screen.</t>
        </is>
      </c>
      <c r="H156" s="13" t="inlineStr">
        <is>
          <t>Automated (Appium)</t>
        </is>
      </c>
      <c r="I156" s="13" t="inlineStr">
        <is>
          <t>P1</t>
        </is>
      </c>
      <c r="J156" s="13" t="inlineStr">
        <is>
          <t>Critical</t>
        </is>
      </c>
      <c r="K156" s="15" t="inlineStr">
        <is>
          <t>PASSED</t>
        </is>
      </c>
    </row>
    <row r="157" ht="20" customHeight="1">
      <c r="A157" s="16" t="inlineStr">
        <is>
          <t>TC_APP_156</t>
        </is>
      </c>
      <c r="B157" s="17" t="inlineStr">
        <is>
          <t>Push Notifications &amp; Alert Triggers</t>
        </is>
      </c>
      <c r="C157" s="17" t="inlineStr">
        <is>
          <t>Verify mobile push notification for WARNING threat alert #11</t>
        </is>
      </c>
      <c r="D157" s="17" t="inlineStr">
        <is>
          <t>Push notification permissions granted</t>
        </is>
      </c>
      <c r="E157" s="17" t="inlineStr">
        <is>
          <t>1. Trigger mock backend threat alert (WARNING)
2. Verify system notification banner appearance
3. Tap notification banner to open app</t>
        </is>
      </c>
      <c r="F157" s="17" t="inlineStr">
        <is>
          <t>Alert_Severity=WARNING, Alert_ID=ALT_011</t>
        </is>
      </c>
      <c r="G157" s="17" t="inlineStr">
        <is>
          <t>Mobile OS displays push notification card; tapping opens app directly to the alerted IP details screen.</t>
        </is>
      </c>
      <c r="H157" s="16" t="inlineStr">
        <is>
          <t>Automated (Appium)</t>
        </is>
      </c>
      <c r="I157" s="16" t="inlineStr">
        <is>
          <t>P2</t>
        </is>
      </c>
      <c r="J157" s="16" t="inlineStr">
        <is>
          <t>High</t>
        </is>
      </c>
      <c r="K157" s="15" t="inlineStr">
        <is>
          <t>AUTOMATED</t>
        </is>
      </c>
    </row>
    <row r="158" ht="20" customHeight="1">
      <c r="A158" s="13" t="inlineStr">
        <is>
          <t>TC_APP_157</t>
        </is>
      </c>
      <c r="B158" s="14" t="inlineStr">
        <is>
          <t>Push Notifications &amp; Alert Triggers</t>
        </is>
      </c>
      <c r="C158" s="14" t="inlineStr">
        <is>
          <t>Verify mobile push notification for WARNING threat alert #12</t>
        </is>
      </c>
      <c r="D158" s="14" t="inlineStr">
        <is>
          <t>Push notification permissions granted</t>
        </is>
      </c>
      <c r="E158" s="14" t="inlineStr">
        <is>
          <t>1. Trigger mock backend threat alert (WARNING)
2. Verify system notification banner appearance
3. Tap notification banner to open app</t>
        </is>
      </c>
      <c r="F158" s="14" t="inlineStr">
        <is>
          <t>Alert_Severity=WARNING, Alert_ID=ALT_012</t>
        </is>
      </c>
      <c r="G158" s="14" t="inlineStr">
        <is>
          <t>Mobile OS displays push notification card; tapping opens app directly to the alerted IP details screen.</t>
        </is>
      </c>
      <c r="H158" s="13" t="inlineStr">
        <is>
          <t>Automated (Appium)</t>
        </is>
      </c>
      <c r="I158" s="13" t="inlineStr">
        <is>
          <t>P2</t>
        </is>
      </c>
      <c r="J158" s="13" t="inlineStr">
        <is>
          <t>High</t>
        </is>
      </c>
      <c r="K158" s="15" t="inlineStr">
        <is>
          <t>AUTOMATED</t>
        </is>
      </c>
    </row>
    <row r="159" ht="20" customHeight="1">
      <c r="A159" s="16" t="inlineStr">
        <is>
          <t>TC_APP_158</t>
        </is>
      </c>
      <c r="B159" s="17" t="inlineStr">
        <is>
          <t>Push Notifications &amp; Alert Triggers</t>
        </is>
      </c>
      <c r="C159" s="17" t="inlineStr">
        <is>
          <t>Verify mobile push notification for WARNING threat alert #13</t>
        </is>
      </c>
      <c r="D159" s="17" t="inlineStr">
        <is>
          <t>Push notification permissions granted</t>
        </is>
      </c>
      <c r="E159" s="17" t="inlineStr">
        <is>
          <t>1. Trigger mock backend threat alert (WARNING)
2. Verify system notification banner appearance
3. Tap notification banner to open app</t>
        </is>
      </c>
      <c r="F159" s="17" t="inlineStr">
        <is>
          <t>Alert_Severity=WARNING, Alert_ID=ALT_013</t>
        </is>
      </c>
      <c r="G159" s="17" t="inlineStr">
        <is>
          <t>Mobile OS displays push notification card; tapping opens app directly to the alerted IP details screen.</t>
        </is>
      </c>
      <c r="H159" s="16" t="inlineStr">
        <is>
          <t>Automated (Appium)</t>
        </is>
      </c>
      <c r="I159" s="16" t="inlineStr">
        <is>
          <t>P2</t>
        </is>
      </c>
      <c r="J159" s="16" t="inlineStr">
        <is>
          <t>High</t>
        </is>
      </c>
      <c r="K159" s="15" t="inlineStr">
        <is>
          <t>AUTOMATED</t>
        </is>
      </c>
    </row>
    <row r="160" ht="20" customHeight="1">
      <c r="A160" s="13" t="inlineStr">
        <is>
          <t>TC_APP_159</t>
        </is>
      </c>
      <c r="B160" s="14" t="inlineStr">
        <is>
          <t>Push Notifications &amp; Alert Triggers</t>
        </is>
      </c>
      <c r="C160" s="14" t="inlineStr">
        <is>
          <t>Verify mobile push notification for WARNING threat alert #14</t>
        </is>
      </c>
      <c r="D160" s="14" t="inlineStr">
        <is>
          <t>Push notification permissions granted</t>
        </is>
      </c>
      <c r="E160" s="14" t="inlineStr">
        <is>
          <t>1. Trigger mock backend threat alert (WARNING)
2. Verify system notification banner appearance
3. Tap notification banner to open app</t>
        </is>
      </c>
      <c r="F160" s="14" t="inlineStr">
        <is>
          <t>Alert_Severity=WARNING, Alert_ID=ALT_014</t>
        </is>
      </c>
      <c r="G160" s="14" t="inlineStr">
        <is>
          <t>Mobile OS displays push notification card; tapping opens app directly to the alerted IP details screen.</t>
        </is>
      </c>
      <c r="H160" s="13" t="inlineStr">
        <is>
          <t>Automated (Appium)</t>
        </is>
      </c>
      <c r="I160" s="13" t="inlineStr">
        <is>
          <t>P2</t>
        </is>
      </c>
      <c r="J160" s="13" t="inlineStr">
        <is>
          <t>High</t>
        </is>
      </c>
      <c r="K160" s="15" t="inlineStr">
        <is>
          <t>AUTOMATED</t>
        </is>
      </c>
    </row>
    <row r="161" ht="20" customHeight="1">
      <c r="A161" s="16" t="inlineStr">
        <is>
          <t>TC_APP_160</t>
        </is>
      </c>
      <c r="B161" s="17" t="inlineStr">
        <is>
          <t>Push Notifications &amp; Alert Triggers</t>
        </is>
      </c>
      <c r="C161" s="17" t="inlineStr">
        <is>
          <t>Verify mobile push notification for WARNING threat alert #15</t>
        </is>
      </c>
      <c r="D161" s="17" t="inlineStr">
        <is>
          <t>Push notification permissions granted</t>
        </is>
      </c>
      <c r="E161" s="17" t="inlineStr">
        <is>
          <t>1. Trigger mock backend threat alert (WARNING)
2. Verify system notification banner appearance
3. Tap notification banner to open app</t>
        </is>
      </c>
      <c r="F161" s="17" t="inlineStr">
        <is>
          <t>Alert_Severity=WARNING, Alert_ID=ALT_015</t>
        </is>
      </c>
      <c r="G161" s="17" t="inlineStr">
        <is>
          <t>Mobile OS displays push notification card; tapping opens app directly to the alerted IP details screen.</t>
        </is>
      </c>
      <c r="H161" s="16" t="inlineStr">
        <is>
          <t>Automated (Appium)</t>
        </is>
      </c>
      <c r="I161" s="16" t="inlineStr">
        <is>
          <t>P2</t>
        </is>
      </c>
      <c r="J161" s="16" t="inlineStr">
        <is>
          <t>High</t>
        </is>
      </c>
      <c r="K161" s="15" t="inlineStr">
        <is>
          <t>AUTOMATED</t>
        </is>
      </c>
    </row>
    <row r="162" ht="20" customHeight="1">
      <c r="A162" s="13" t="inlineStr">
        <is>
          <t>TC_APP_161</t>
        </is>
      </c>
      <c r="B162" s="14" t="inlineStr">
        <is>
          <t>Push Notifications &amp; Alert Triggers</t>
        </is>
      </c>
      <c r="C162" s="14" t="inlineStr">
        <is>
          <t>Verify mobile push notification for WARNING threat alert #16</t>
        </is>
      </c>
      <c r="D162" s="14" t="inlineStr">
        <is>
          <t>Push notification permissions granted</t>
        </is>
      </c>
      <c r="E162" s="14" t="inlineStr">
        <is>
          <t>1. Trigger mock backend threat alert (WARNING)
2. Verify system notification banner appearance
3. Tap notification banner to open app</t>
        </is>
      </c>
      <c r="F162" s="14" t="inlineStr">
        <is>
          <t>Alert_Severity=WARNING, Alert_ID=ALT_016</t>
        </is>
      </c>
      <c r="G162" s="14" t="inlineStr">
        <is>
          <t>Mobile OS displays push notification card; tapping opens app directly to the alerted IP details screen.</t>
        </is>
      </c>
      <c r="H162" s="13" t="inlineStr">
        <is>
          <t>Manual</t>
        </is>
      </c>
      <c r="I162" s="13" t="inlineStr">
        <is>
          <t>P2</t>
        </is>
      </c>
      <c r="J162" s="13" t="inlineStr">
        <is>
          <t>High</t>
        </is>
      </c>
      <c r="K162" s="15" t="inlineStr">
        <is>
          <t>AUTOMATED</t>
        </is>
      </c>
    </row>
    <row r="163" ht="20" customHeight="1">
      <c r="A163" s="16" t="inlineStr">
        <is>
          <t>TC_APP_162</t>
        </is>
      </c>
      <c r="B163" s="17" t="inlineStr">
        <is>
          <t>Push Notifications &amp; Alert Triggers</t>
        </is>
      </c>
      <c r="C163" s="17" t="inlineStr">
        <is>
          <t>Verify mobile push notification for WARNING threat alert #17</t>
        </is>
      </c>
      <c r="D163" s="17" t="inlineStr">
        <is>
          <t>Push notification permissions granted</t>
        </is>
      </c>
      <c r="E163" s="17" t="inlineStr">
        <is>
          <t>1. Trigger mock backend threat alert (WARNING)
2. Verify system notification banner appearance
3. Tap notification banner to open app</t>
        </is>
      </c>
      <c r="F163" s="17" t="inlineStr">
        <is>
          <t>Alert_Severity=WARNING, Alert_ID=ALT_017</t>
        </is>
      </c>
      <c r="G163" s="17" t="inlineStr">
        <is>
          <t>Mobile OS displays push notification card; tapping opens app directly to the alerted IP details screen.</t>
        </is>
      </c>
      <c r="H163" s="16" t="inlineStr">
        <is>
          <t>Manual</t>
        </is>
      </c>
      <c r="I163" s="16" t="inlineStr">
        <is>
          <t>P2</t>
        </is>
      </c>
      <c r="J163" s="16" t="inlineStr">
        <is>
          <t>High</t>
        </is>
      </c>
      <c r="K163" s="15" t="inlineStr">
        <is>
          <t>AUTOMATED</t>
        </is>
      </c>
    </row>
    <row r="164" ht="20" customHeight="1">
      <c r="A164" s="13" t="inlineStr">
        <is>
          <t>TC_APP_163</t>
        </is>
      </c>
      <c r="B164" s="14" t="inlineStr">
        <is>
          <t>Push Notifications &amp; Alert Triggers</t>
        </is>
      </c>
      <c r="C164" s="14" t="inlineStr">
        <is>
          <t>Verify mobile push notification for WARNING threat alert #18</t>
        </is>
      </c>
      <c r="D164" s="14" t="inlineStr">
        <is>
          <t>Push notification permissions granted</t>
        </is>
      </c>
      <c r="E164" s="14" t="inlineStr">
        <is>
          <t>1. Trigger mock backend threat alert (WARNING)
2. Verify system notification banner appearance
3. Tap notification banner to open app</t>
        </is>
      </c>
      <c r="F164" s="14" t="inlineStr">
        <is>
          <t>Alert_Severity=WARNING, Alert_ID=ALT_018</t>
        </is>
      </c>
      <c r="G164" s="14" t="inlineStr">
        <is>
          <t>Mobile OS displays push notification card; tapping opens app directly to the alerted IP details screen.</t>
        </is>
      </c>
      <c r="H164" s="13" t="inlineStr">
        <is>
          <t>Manual</t>
        </is>
      </c>
      <c r="I164" s="13" t="inlineStr">
        <is>
          <t>P2</t>
        </is>
      </c>
      <c r="J164" s="13" t="inlineStr">
        <is>
          <t>High</t>
        </is>
      </c>
      <c r="K164" s="15" t="inlineStr">
        <is>
          <t>AUTOMATED</t>
        </is>
      </c>
    </row>
    <row r="165" ht="20" customHeight="1">
      <c r="A165" s="16" t="inlineStr">
        <is>
          <t>TC_APP_164</t>
        </is>
      </c>
      <c r="B165" s="17" t="inlineStr">
        <is>
          <t>Push Notifications &amp; Alert Triggers</t>
        </is>
      </c>
      <c r="C165" s="17" t="inlineStr">
        <is>
          <t>Verify mobile push notification for WARNING threat alert #19</t>
        </is>
      </c>
      <c r="D165" s="17" t="inlineStr">
        <is>
          <t>Push notification permissions granted</t>
        </is>
      </c>
      <c r="E165" s="17" t="inlineStr">
        <is>
          <t>1. Trigger mock backend threat alert (WARNING)
2. Verify system notification banner appearance
3. Tap notification banner to open app</t>
        </is>
      </c>
      <c r="F165" s="17" t="inlineStr">
        <is>
          <t>Alert_Severity=WARNING, Alert_ID=ALT_019</t>
        </is>
      </c>
      <c r="G165" s="17" t="inlineStr">
        <is>
          <t>Mobile OS displays push notification card; tapping opens app directly to the alerted IP details screen.</t>
        </is>
      </c>
      <c r="H165" s="16" t="inlineStr">
        <is>
          <t>Manual</t>
        </is>
      </c>
      <c r="I165" s="16" t="inlineStr">
        <is>
          <t>P2</t>
        </is>
      </c>
      <c r="J165" s="16" t="inlineStr">
        <is>
          <t>High</t>
        </is>
      </c>
      <c r="K165" s="15" t="inlineStr">
        <is>
          <t>AUTOMATED</t>
        </is>
      </c>
    </row>
    <row r="166" ht="20" customHeight="1">
      <c r="A166" s="13" t="inlineStr">
        <is>
          <t>TC_APP_165</t>
        </is>
      </c>
      <c r="B166" s="14" t="inlineStr">
        <is>
          <t>Push Notifications &amp; Alert Triggers</t>
        </is>
      </c>
      <c r="C166" s="14" t="inlineStr">
        <is>
          <t>Verify mobile push notification for WARNING threat alert #20</t>
        </is>
      </c>
      <c r="D166" s="14" t="inlineStr">
        <is>
          <t>Push notification permissions granted</t>
        </is>
      </c>
      <c r="E166" s="14" t="inlineStr">
        <is>
          <t>1. Trigger mock backend threat alert (WARNING)
2. Verify system notification banner appearance
3. Tap notification banner to open app</t>
        </is>
      </c>
      <c r="F166" s="14" t="inlineStr">
        <is>
          <t>Alert_Severity=WARNING, Alert_ID=ALT_020</t>
        </is>
      </c>
      <c r="G166" s="14" t="inlineStr">
        <is>
          <t>Mobile OS displays push notification card; tapping opens app directly to the alerted IP details screen.</t>
        </is>
      </c>
      <c r="H166" s="13" t="inlineStr">
        <is>
          <t>Manual</t>
        </is>
      </c>
      <c r="I166" s="13" t="inlineStr">
        <is>
          <t>P2</t>
        </is>
      </c>
      <c r="J166" s="13" t="inlineStr">
        <is>
          <t>High</t>
        </is>
      </c>
      <c r="K166" s="15" t="inlineStr">
        <is>
          <t>AUTOMATED</t>
        </is>
      </c>
    </row>
    <row r="167" ht="20" customHeight="1">
      <c r="A167" s="16" t="inlineStr">
        <is>
          <t>TC_APP_166</t>
        </is>
      </c>
      <c r="B167" s="17" t="inlineStr">
        <is>
          <t>Push Notifications &amp; Alert Triggers</t>
        </is>
      </c>
      <c r="C167" s="17" t="inlineStr">
        <is>
          <t>Verify mobile push notification for WARNING threat alert #21</t>
        </is>
      </c>
      <c r="D167" s="17" t="inlineStr">
        <is>
          <t>Push notification permissions granted</t>
        </is>
      </c>
      <c r="E167" s="17" t="inlineStr">
        <is>
          <t>1. Trigger mock backend threat alert (WARNING)
2. Verify system notification banner appearance
3. Tap notification banner to open app</t>
        </is>
      </c>
      <c r="F167" s="17" t="inlineStr">
        <is>
          <t>Alert_Severity=WARNING, Alert_ID=ALT_021</t>
        </is>
      </c>
      <c r="G167" s="17" t="inlineStr">
        <is>
          <t>Mobile OS displays push notification card; tapping opens app directly to the alerted IP details screen.</t>
        </is>
      </c>
      <c r="H167" s="16" t="inlineStr">
        <is>
          <t>Manual</t>
        </is>
      </c>
      <c r="I167" s="16" t="inlineStr">
        <is>
          <t>P2</t>
        </is>
      </c>
      <c r="J167" s="16" t="inlineStr">
        <is>
          <t>High</t>
        </is>
      </c>
      <c r="K167" s="15" t="inlineStr">
        <is>
          <t>AUTOMATED</t>
        </is>
      </c>
    </row>
    <row r="168" ht="20" customHeight="1">
      <c r="A168" s="13" t="inlineStr">
        <is>
          <t>TC_APP_167</t>
        </is>
      </c>
      <c r="B168" s="14" t="inlineStr">
        <is>
          <t>Push Notifications &amp; Alert Triggers</t>
        </is>
      </c>
      <c r="C168" s="14" t="inlineStr">
        <is>
          <t>Verify mobile push notification for WARNING threat alert #22</t>
        </is>
      </c>
      <c r="D168" s="14" t="inlineStr">
        <is>
          <t>Push notification permissions granted</t>
        </is>
      </c>
      <c r="E168" s="14" t="inlineStr">
        <is>
          <t>1. Trigger mock backend threat alert (WARNING)
2. Verify system notification banner appearance
3. Tap notification banner to open app</t>
        </is>
      </c>
      <c r="F168" s="14" t="inlineStr">
        <is>
          <t>Alert_Severity=WARNING, Alert_ID=ALT_022</t>
        </is>
      </c>
      <c r="G168" s="14" t="inlineStr">
        <is>
          <t>Mobile OS displays push notification card; tapping opens app directly to the alerted IP details screen.</t>
        </is>
      </c>
      <c r="H168" s="13" t="inlineStr">
        <is>
          <t>Manual</t>
        </is>
      </c>
      <c r="I168" s="13" t="inlineStr">
        <is>
          <t>P2</t>
        </is>
      </c>
      <c r="J168" s="13" t="inlineStr">
        <is>
          <t>High</t>
        </is>
      </c>
      <c r="K168" s="15" t="inlineStr">
        <is>
          <t>AUTOMATED</t>
        </is>
      </c>
    </row>
    <row r="169" ht="20" customHeight="1">
      <c r="A169" s="16" t="inlineStr">
        <is>
          <t>TC_APP_168</t>
        </is>
      </c>
      <c r="B169" s="17" t="inlineStr">
        <is>
          <t>Push Notifications &amp; Alert Triggers</t>
        </is>
      </c>
      <c r="C169" s="17" t="inlineStr">
        <is>
          <t>Verify mobile push notification for WARNING threat alert #23</t>
        </is>
      </c>
      <c r="D169" s="17" t="inlineStr">
        <is>
          <t>Push notification permissions granted</t>
        </is>
      </c>
      <c r="E169" s="17" t="inlineStr">
        <is>
          <t>1. Trigger mock backend threat alert (WARNING)
2. Verify system notification banner appearance
3. Tap notification banner to open app</t>
        </is>
      </c>
      <c r="F169" s="17" t="inlineStr">
        <is>
          <t>Alert_Severity=WARNING, Alert_ID=ALT_023</t>
        </is>
      </c>
      <c r="G169" s="17" t="inlineStr">
        <is>
          <t>Mobile OS displays push notification card; tapping opens app directly to the alerted IP details screen.</t>
        </is>
      </c>
      <c r="H169" s="16" t="inlineStr">
        <is>
          <t>Manual</t>
        </is>
      </c>
      <c r="I169" s="16" t="inlineStr">
        <is>
          <t>P2</t>
        </is>
      </c>
      <c r="J169" s="16" t="inlineStr">
        <is>
          <t>High</t>
        </is>
      </c>
      <c r="K169" s="15" t="inlineStr">
        <is>
          <t>AUTOMATED</t>
        </is>
      </c>
    </row>
    <row r="170" ht="20" customHeight="1">
      <c r="A170" s="13" t="inlineStr">
        <is>
          <t>TC_APP_169</t>
        </is>
      </c>
      <c r="B170" s="14" t="inlineStr">
        <is>
          <t>Push Notifications &amp; Alert Triggers</t>
        </is>
      </c>
      <c r="C170" s="14" t="inlineStr">
        <is>
          <t>Verify mobile push notification for WARNING threat alert #24</t>
        </is>
      </c>
      <c r="D170" s="14" t="inlineStr">
        <is>
          <t>Push notification permissions granted</t>
        </is>
      </c>
      <c r="E170" s="14" t="inlineStr">
        <is>
          <t>1. Trigger mock backend threat alert (WARNING)
2. Verify system notification banner appearance
3. Tap notification banner to open app</t>
        </is>
      </c>
      <c r="F170" s="14" t="inlineStr">
        <is>
          <t>Alert_Severity=WARNING, Alert_ID=ALT_024</t>
        </is>
      </c>
      <c r="G170" s="14" t="inlineStr">
        <is>
          <t>Mobile OS displays push notification card; tapping opens app directly to the alerted IP details screen.</t>
        </is>
      </c>
      <c r="H170" s="13" t="inlineStr">
        <is>
          <t>Manual</t>
        </is>
      </c>
      <c r="I170" s="13" t="inlineStr">
        <is>
          <t>P2</t>
        </is>
      </c>
      <c r="J170" s="13" t="inlineStr">
        <is>
          <t>High</t>
        </is>
      </c>
      <c r="K170" s="15" t="inlineStr">
        <is>
          <t>AUTOMATED</t>
        </is>
      </c>
    </row>
    <row r="171" ht="20" customHeight="1">
      <c r="A171" s="16" t="inlineStr">
        <is>
          <t>TC_APP_170</t>
        </is>
      </c>
      <c r="B171" s="17" t="inlineStr">
        <is>
          <t>Push Notifications &amp; Alert Triggers</t>
        </is>
      </c>
      <c r="C171" s="17" t="inlineStr">
        <is>
          <t>Verify mobile push notification for WARNING threat alert #25</t>
        </is>
      </c>
      <c r="D171" s="17" t="inlineStr">
        <is>
          <t>Push notification permissions granted</t>
        </is>
      </c>
      <c r="E171" s="17" t="inlineStr">
        <is>
          <t>1. Trigger mock backend threat alert (WARNING)
2. Verify system notification banner appearance
3. Tap notification banner to open app</t>
        </is>
      </c>
      <c r="F171" s="17" t="inlineStr">
        <is>
          <t>Alert_Severity=WARNING, Alert_ID=ALT_025</t>
        </is>
      </c>
      <c r="G171" s="17" t="inlineStr">
        <is>
          <t>Mobile OS displays push notification card; tapping opens app directly to the alerted IP details screen.</t>
        </is>
      </c>
      <c r="H171" s="16" t="inlineStr">
        <is>
          <t>Manual</t>
        </is>
      </c>
      <c r="I171" s="16" t="inlineStr">
        <is>
          <t>P2</t>
        </is>
      </c>
      <c r="J171" s="16" t="inlineStr">
        <is>
          <t>High</t>
        </is>
      </c>
      <c r="K171" s="15" t="inlineStr">
        <is>
          <t>AUTOMATED</t>
        </is>
      </c>
    </row>
    <row r="172" ht="20" customHeight="1">
      <c r="A172" s="13" t="inlineStr">
        <is>
          <t>TC_APP_171</t>
        </is>
      </c>
      <c r="B172" s="14" t="inlineStr">
        <is>
          <t>Low Data Mode &amp; Bandwidth Usage</t>
        </is>
      </c>
      <c r="C172" s="14" t="inlineStr">
        <is>
          <t>Verify Low Data Mode toggle &amp; refresh rate reduction (Test #1)</t>
        </is>
      </c>
      <c r="D172" s="14" t="inlineStr">
        <is>
          <t>Settings tab open (~tab_data_settings)</t>
        </is>
      </c>
      <c r="E172" s="14" t="inlineStr">
        <is>
          <t>1. Toggle ~switch_low_data_mode ON
2. Inspect telemetry refresh interval setting
3. Monitor network bytes transferred card</t>
        </is>
      </c>
      <c r="F172" s="14" t="inlineStr">
        <is>
          <t>Low_Data_Mode=True, Threshold=10MB</t>
        </is>
      </c>
      <c r="G172" s="14" t="inlineStr">
        <is>
          <t>App reduces sync frequency and disables image previews to save mobile cellular bandwidth.</t>
        </is>
      </c>
      <c r="H172" s="13" t="inlineStr">
        <is>
          <t>Automated (Appium)</t>
        </is>
      </c>
      <c r="I172" s="13" t="inlineStr">
        <is>
          <t>P2</t>
        </is>
      </c>
      <c r="J172" s="13" t="inlineStr">
        <is>
          <t>Medium</t>
        </is>
      </c>
      <c r="K172" s="15" t="inlineStr">
        <is>
          <t>PASSED</t>
        </is>
      </c>
    </row>
    <row r="173" ht="20" customHeight="1">
      <c r="A173" s="16" t="inlineStr">
        <is>
          <t>TC_APP_172</t>
        </is>
      </c>
      <c r="B173" s="17" t="inlineStr">
        <is>
          <t>Low Data Mode &amp; Bandwidth Usage</t>
        </is>
      </c>
      <c r="C173" s="17" t="inlineStr">
        <is>
          <t>Verify Low Data Mode toggle &amp; refresh rate reduction (Test #2)</t>
        </is>
      </c>
      <c r="D173" s="17" t="inlineStr">
        <is>
          <t>Settings tab open (~tab_data_settings)</t>
        </is>
      </c>
      <c r="E173" s="17" t="inlineStr">
        <is>
          <t>1. Toggle ~switch_low_data_mode ON
2. Inspect telemetry refresh interval setting
3. Monitor network bytes transferred card</t>
        </is>
      </c>
      <c r="F173" s="17" t="inlineStr">
        <is>
          <t>Low_Data_Mode=True, Threshold=20MB</t>
        </is>
      </c>
      <c r="G173" s="17" t="inlineStr">
        <is>
          <t>App reduces sync frequency and disables image previews to save mobile cellular bandwidth.</t>
        </is>
      </c>
      <c r="H173" s="16" t="inlineStr">
        <is>
          <t>Automated (Appium)</t>
        </is>
      </c>
      <c r="I173" s="16" t="inlineStr">
        <is>
          <t>P2</t>
        </is>
      </c>
      <c r="J173" s="16" t="inlineStr">
        <is>
          <t>Medium</t>
        </is>
      </c>
      <c r="K173" s="15" t="inlineStr">
        <is>
          <t>PASSED</t>
        </is>
      </c>
    </row>
    <row r="174" ht="20" customHeight="1">
      <c r="A174" s="13" t="inlineStr">
        <is>
          <t>TC_APP_173</t>
        </is>
      </c>
      <c r="B174" s="14" t="inlineStr">
        <is>
          <t>Low Data Mode &amp; Bandwidth Usage</t>
        </is>
      </c>
      <c r="C174" s="14" t="inlineStr">
        <is>
          <t>Verify Low Data Mode toggle &amp; refresh rate reduction (Test #3)</t>
        </is>
      </c>
      <c r="D174" s="14" t="inlineStr">
        <is>
          <t>Settings tab open (~tab_data_settings)</t>
        </is>
      </c>
      <c r="E174" s="14" t="inlineStr">
        <is>
          <t>1. Toggle ~switch_low_data_mode ON
2. Inspect telemetry refresh interval setting
3. Monitor network bytes transferred card</t>
        </is>
      </c>
      <c r="F174" s="14" t="inlineStr">
        <is>
          <t>Low_Data_Mode=True, Threshold=30MB</t>
        </is>
      </c>
      <c r="G174" s="14" t="inlineStr">
        <is>
          <t>App reduces sync frequency and disables image previews to save mobile cellular bandwidth.</t>
        </is>
      </c>
      <c r="H174" s="13" t="inlineStr">
        <is>
          <t>Automated (Appium)</t>
        </is>
      </c>
      <c r="I174" s="13" t="inlineStr">
        <is>
          <t>P2</t>
        </is>
      </c>
      <c r="J174" s="13" t="inlineStr">
        <is>
          <t>Medium</t>
        </is>
      </c>
      <c r="K174" s="15" t="inlineStr">
        <is>
          <t>PASSED</t>
        </is>
      </c>
    </row>
    <row r="175" ht="20" customHeight="1">
      <c r="A175" s="16" t="inlineStr">
        <is>
          <t>TC_APP_174</t>
        </is>
      </c>
      <c r="B175" s="17" t="inlineStr">
        <is>
          <t>Low Data Mode &amp; Bandwidth Usage</t>
        </is>
      </c>
      <c r="C175" s="17" t="inlineStr">
        <is>
          <t>Verify Low Data Mode toggle &amp; refresh rate reduction (Test #4)</t>
        </is>
      </c>
      <c r="D175" s="17" t="inlineStr">
        <is>
          <t>Settings tab open (~tab_data_settings)</t>
        </is>
      </c>
      <c r="E175" s="17" t="inlineStr">
        <is>
          <t>1. Toggle ~switch_low_data_mode ON
2. Inspect telemetry refresh interval setting
3. Monitor network bytes transferred card</t>
        </is>
      </c>
      <c r="F175" s="17" t="inlineStr">
        <is>
          <t>Low_Data_Mode=True, Threshold=40MB</t>
        </is>
      </c>
      <c r="G175" s="17" t="inlineStr">
        <is>
          <t>App reduces sync frequency and disables image previews to save mobile cellular bandwidth.</t>
        </is>
      </c>
      <c r="H175" s="16" t="inlineStr">
        <is>
          <t>Automated (Appium)</t>
        </is>
      </c>
      <c r="I175" s="16" t="inlineStr">
        <is>
          <t>P2</t>
        </is>
      </c>
      <c r="J175" s="16" t="inlineStr">
        <is>
          <t>Medium</t>
        </is>
      </c>
      <c r="K175" s="15" t="inlineStr">
        <is>
          <t>PASSED</t>
        </is>
      </c>
    </row>
    <row r="176" ht="20" customHeight="1">
      <c r="A176" s="13" t="inlineStr">
        <is>
          <t>TC_APP_175</t>
        </is>
      </c>
      <c r="B176" s="14" t="inlineStr">
        <is>
          <t>Low Data Mode &amp; Bandwidth Usage</t>
        </is>
      </c>
      <c r="C176" s="14" t="inlineStr">
        <is>
          <t>Verify Low Data Mode toggle &amp; refresh rate reduction (Test #5)</t>
        </is>
      </c>
      <c r="D176" s="14" t="inlineStr">
        <is>
          <t>Settings tab open (~tab_data_settings)</t>
        </is>
      </c>
      <c r="E176" s="14" t="inlineStr">
        <is>
          <t>1. Toggle ~switch_low_data_mode ON
2. Inspect telemetry refresh interval setting
3. Monitor network bytes transferred card</t>
        </is>
      </c>
      <c r="F176" s="14" t="inlineStr">
        <is>
          <t>Low_Data_Mode=True, Threshold=50MB</t>
        </is>
      </c>
      <c r="G176" s="14" t="inlineStr">
        <is>
          <t>App reduces sync frequency and disables image previews to save mobile cellular bandwidth.</t>
        </is>
      </c>
      <c r="H176" s="13" t="inlineStr">
        <is>
          <t>Automated (Appium)</t>
        </is>
      </c>
      <c r="I176" s="13" t="inlineStr">
        <is>
          <t>P2</t>
        </is>
      </c>
      <c r="J176" s="13" t="inlineStr">
        <is>
          <t>Medium</t>
        </is>
      </c>
      <c r="K176" s="15" t="inlineStr">
        <is>
          <t>PASSED</t>
        </is>
      </c>
    </row>
    <row r="177" ht="20" customHeight="1">
      <c r="A177" s="16" t="inlineStr">
        <is>
          <t>TC_APP_176</t>
        </is>
      </c>
      <c r="B177" s="17" t="inlineStr">
        <is>
          <t>Low Data Mode &amp; Bandwidth Usage</t>
        </is>
      </c>
      <c r="C177" s="17" t="inlineStr">
        <is>
          <t>Verify Low Data Mode toggle &amp; refresh rate reduction (Test #6)</t>
        </is>
      </c>
      <c r="D177" s="17" t="inlineStr">
        <is>
          <t>Settings tab open (~tab_data_settings)</t>
        </is>
      </c>
      <c r="E177" s="17" t="inlineStr">
        <is>
          <t>1. Toggle ~switch_low_data_mode ON
2. Inspect telemetry refresh interval setting
3. Monitor network bytes transferred card</t>
        </is>
      </c>
      <c r="F177" s="17" t="inlineStr">
        <is>
          <t>Low_Data_Mode=True, Threshold=60MB</t>
        </is>
      </c>
      <c r="G177" s="17" t="inlineStr">
        <is>
          <t>App reduces sync frequency and disables image previews to save mobile cellular bandwidth.</t>
        </is>
      </c>
      <c r="H177" s="16" t="inlineStr">
        <is>
          <t>Automated (Appium)</t>
        </is>
      </c>
      <c r="I177" s="16" t="inlineStr">
        <is>
          <t>P2</t>
        </is>
      </c>
      <c r="J177" s="16" t="inlineStr">
        <is>
          <t>Medium</t>
        </is>
      </c>
      <c r="K177" s="15" t="inlineStr">
        <is>
          <t>PASSED</t>
        </is>
      </c>
    </row>
    <row r="178" ht="20" customHeight="1">
      <c r="A178" s="13" t="inlineStr">
        <is>
          <t>TC_APP_177</t>
        </is>
      </c>
      <c r="B178" s="14" t="inlineStr">
        <is>
          <t>Low Data Mode &amp; Bandwidth Usage</t>
        </is>
      </c>
      <c r="C178" s="14" t="inlineStr">
        <is>
          <t>Verify Low Data Mode toggle &amp; refresh rate reduction (Test #7)</t>
        </is>
      </c>
      <c r="D178" s="14" t="inlineStr">
        <is>
          <t>Settings tab open (~tab_data_settings)</t>
        </is>
      </c>
      <c r="E178" s="14" t="inlineStr">
        <is>
          <t>1. Toggle ~switch_low_data_mode ON
2. Inspect telemetry refresh interval setting
3. Monitor network bytes transferred card</t>
        </is>
      </c>
      <c r="F178" s="14" t="inlineStr">
        <is>
          <t>Low_Data_Mode=True, Threshold=70MB</t>
        </is>
      </c>
      <c r="G178" s="14" t="inlineStr">
        <is>
          <t>App reduces sync frequency and disables image previews to save mobile cellular bandwidth.</t>
        </is>
      </c>
      <c r="H178" s="13" t="inlineStr">
        <is>
          <t>Automated (Appium)</t>
        </is>
      </c>
      <c r="I178" s="13" t="inlineStr">
        <is>
          <t>P2</t>
        </is>
      </c>
      <c r="J178" s="13" t="inlineStr">
        <is>
          <t>Medium</t>
        </is>
      </c>
      <c r="K178" s="15" t="inlineStr">
        <is>
          <t>PASSED</t>
        </is>
      </c>
    </row>
    <row r="179" ht="20" customHeight="1">
      <c r="A179" s="16" t="inlineStr">
        <is>
          <t>TC_APP_178</t>
        </is>
      </c>
      <c r="B179" s="17" t="inlineStr">
        <is>
          <t>Low Data Mode &amp; Bandwidth Usage</t>
        </is>
      </c>
      <c r="C179" s="17" t="inlineStr">
        <is>
          <t>Verify Low Data Mode toggle &amp; refresh rate reduction (Test #8)</t>
        </is>
      </c>
      <c r="D179" s="17" t="inlineStr">
        <is>
          <t>Settings tab open (~tab_data_settings)</t>
        </is>
      </c>
      <c r="E179" s="17" t="inlineStr">
        <is>
          <t>1. Toggle ~switch_low_data_mode ON
2. Inspect telemetry refresh interval setting
3. Monitor network bytes transferred card</t>
        </is>
      </c>
      <c r="F179" s="17" t="inlineStr">
        <is>
          <t>Low_Data_Mode=True, Threshold=80MB</t>
        </is>
      </c>
      <c r="G179" s="17" t="inlineStr">
        <is>
          <t>App reduces sync frequency and disables image previews to save mobile cellular bandwidth.</t>
        </is>
      </c>
      <c r="H179" s="16" t="inlineStr">
        <is>
          <t>Automated (Appium)</t>
        </is>
      </c>
      <c r="I179" s="16" t="inlineStr">
        <is>
          <t>P2</t>
        </is>
      </c>
      <c r="J179" s="16" t="inlineStr">
        <is>
          <t>Medium</t>
        </is>
      </c>
      <c r="K179" s="15" t="inlineStr">
        <is>
          <t>PASSED</t>
        </is>
      </c>
    </row>
    <row r="180" ht="20" customHeight="1">
      <c r="A180" s="13" t="inlineStr">
        <is>
          <t>TC_APP_179</t>
        </is>
      </c>
      <c r="B180" s="14" t="inlineStr">
        <is>
          <t>Low Data Mode &amp; Bandwidth Usage</t>
        </is>
      </c>
      <c r="C180" s="14" t="inlineStr">
        <is>
          <t>Verify Low Data Mode toggle &amp; refresh rate reduction (Test #9)</t>
        </is>
      </c>
      <c r="D180" s="14" t="inlineStr">
        <is>
          <t>Settings tab open (~tab_data_settings)</t>
        </is>
      </c>
      <c r="E180" s="14" t="inlineStr">
        <is>
          <t>1. Toggle ~switch_low_data_mode ON
2. Inspect telemetry refresh interval setting
3. Monitor network bytes transferred card</t>
        </is>
      </c>
      <c r="F180" s="14" t="inlineStr">
        <is>
          <t>Low_Data_Mode=True, Threshold=90MB</t>
        </is>
      </c>
      <c r="G180" s="14" t="inlineStr">
        <is>
          <t>App reduces sync frequency and disables image previews to save mobile cellular bandwidth.</t>
        </is>
      </c>
      <c r="H180" s="13" t="inlineStr">
        <is>
          <t>Automated (Appium)</t>
        </is>
      </c>
      <c r="I180" s="13" t="inlineStr">
        <is>
          <t>P2</t>
        </is>
      </c>
      <c r="J180" s="13" t="inlineStr">
        <is>
          <t>Medium</t>
        </is>
      </c>
      <c r="K180" s="15" t="inlineStr">
        <is>
          <t>PASSED</t>
        </is>
      </c>
    </row>
    <row r="181" ht="20" customHeight="1">
      <c r="A181" s="16" t="inlineStr">
        <is>
          <t>TC_APP_180</t>
        </is>
      </c>
      <c r="B181" s="17" t="inlineStr">
        <is>
          <t>Low Data Mode &amp; Bandwidth Usage</t>
        </is>
      </c>
      <c r="C181" s="17" t="inlineStr">
        <is>
          <t>Verify Low Data Mode toggle &amp; refresh rate reduction (Test #10)</t>
        </is>
      </c>
      <c r="D181" s="17" t="inlineStr">
        <is>
          <t>Settings tab open (~tab_data_settings)</t>
        </is>
      </c>
      <c r="E181" s="17" t="inlineStr">
        <is>
          <t>1. Toggle ~switch_low_data_mode ON
2. Inspect telemetry refresh interval setting
3. Monitor network bytes transferred card</t>
        </is>
      </c>
      <c r="F181" s="17" t="inlineStr">
        <is>
          <t>Low_Data_Mode=True, Threshold=100MB</t>
        </is>
      </c>
      <c r="G181" s="17" t="inlineStr">
        <is>
          <t>App reduces sync frequency and disables image previews to save mobile cellular bandwidth.</t>
        </is>
      </c>
      <c r="H181" s="16" t="inlineStr">
        <is>
          <t>Automated (Appium)</t>
        </is>
      </c>
      <c r="I181" s="16" t="inlineStr">
        <is>
          <t>P2</t>
        </is>
      </c>
      <c r="J181" s="16" t="inlineStr">
        <is>
          <t>Medium</t>
        </is>
      </c>
      <c r="K181" s="15" t="inlineStr">
        <is>
          <t>PASSED</t>
        </is>
      </c>
    </row>
    <row r="182" ht="20" customHeight="1">
      <c r="A182" s="13" t="inlineStr">
        <is>
          <t>TC_APP_181</t>
        </is>
      </c>
      <c r="B182" s="14" t="inlineStr">
        <is>
          <t>Low Data Mode &amp; Bandwidth Usage</t>
        </is>
      </c>
      <c r="C182" s="14" t="inlineStr">
        <is>
          <t>Verify Low Data Mode toggle &amp; refresh rate reduction (Test #11)</t>
        </is>
      </c>
      <c r="D182" s="14" t="inlineStr">
        <is>
          <t>Settings tab open (~tab_data_settings)</t>
        </is>
      </c>
      <c r="E182" s="14" t="inlineStr">
        <is>
          <t>1. Toggle ~switch_low_data_mode ON
2. Inspect telemetry refresh interval setting
3. Monitor network bytes transferred card</t>
        </is>
      </c>
      <c r="F182" s="14" t="inlineStr">
        <is>
          <t>Low_Data_Mode=True, Threshold=110MB</t>
        </is>
      </c>
      <c r="G182" s="14" t="inlineStr">
        <is>
          <t>App reduces sync frequency and disables image previews to save mobile cellular bandwidth.</t>
        </is>
      </c>
      <c r="H182" s="13" t="inlineStr">
        <is>
          <t>Automated (Appium)</t>
        </is>
      </c>
      <c r="I182" s="13" t="inlineStr">
        <is>
          <t>P2</t>
        </is>
      </c>
      <c r="J182" s="13" t="inlineStr">
        <is>
          <t>Medium</t>
        </is>
      </c>
      <c r="K182" s="15" t="inlineStr">
        <is>
          <t>AUTOMATED</t>
        </is>
      </c>
    </row>
    <row r="183" ht="20" customHeight="1">
      <c r="A183" s="16" t="inlineStr">
        <is>
          <t>TC_APP_182</t>
        </is>
      </c>
      <c r="B183" s="17" t="inlineStr">
        <is>
          <t>Low Data Mode &amp; Bandwidth Usage</t>
        </is>
      </c>
      <c r="C183" s="17" t="inlineStr">
        <is>
          <t>Verify Low Data Mode toggle &amp; refresh rate reduction (Test #12)</t>
        </is>
      </c>
      <c r="D183" s="17" t="inlineStr">
        <is>
          <t>Settings tab open (~tab_data_settings)</t>
        </is>
      </c>
      <c r="E183" s="17" t="inlineStr">
        <is>
          <t>1. Toggle ~switch_low_data_mode ON
2. Inspect telemetry refresh interval setting
3. Monitor network bytes transferred card</t>
        </is>
      </c>
      <c r="F183" s="17" t="inlineStr">
        <is>
          <t>Low_Data_Mode=True, Threshold=120MB</t>
        </is>
      </c>
      <c r="G183" s="17" t="inlineStr">
        <is>
          <t>App reduces sync frequency and disables image previews to save mobile cellular bandwidth.</t>
        </is>
      </c>
      <c r="H183" s="16" t="inlineStr">
        <is>
          <t>Automated (Appium)</t>
        </is>
      </c>
      <c r="I183" s="16" t="inlineStr">
        <is>
          <t>P2</t>
        </is>
      </c>
      <c r="J183" s="16" t="inlineStr">
        <is>
          <t>Medium</t>
        </is>
      </c>
      <c r="K183" s="15" t="inlineStr">
        <is>
          <t>AUTOMATED</t>
        </is>
      </c>
    </row>
    <row r="184" ht="20" customHeight="1">
      <c r="A184" s="13" t="inlineStr">
        <is>
          <t>TC_APP_183</t>
        </is>
      </c>
      <c r="B184" s="14" t="inlineStr">
        <is>
          <t>Low Data Mode &amp; Bandwidth Usage</t>
        </is>
      </c>
      <c r="C184" s="14" t="inlineStr">
        <is>
          <t>Verify Low Data Mode toggle &amp; refresh rate reduction (Test #13)</t>
        </is>
      </c>
      <c r="D184" s="14" t="inlineStr">
        <is>
          <t>Settings tab open (~tab_data_settings)</t>
        </is>
      </c>
      <c r="E184" s="14" t="inlineStr">
        <is>
          <t>1. Toggle ~switch_low_data_mode ON
2. Inspect telemetry refresh interval setting
3. Monitor network bytes transferred card</t>
        </is>
      </c>
      <c r="F184" s="14" t="inlineStr">
        <is>
          <t>Low_Data_Mode=True, Threshold=130MB</t>
        </is>
      </c>
      <c r="G184" s="14" t="inlineStr">
        <is>
          <t>App reduces sync frequency and disables image previews to save mobile cellular bandwidth.</t>
        </is>
      </c>
      <c r="H184" s="13" t="inlineStr">
        <is>
          <t>Automated (Appium)</t>
        </is>
      </c>
      <c r="I184" s="13" t="inlineStr">
        <is>
          <t>P2</t>
        </is>
      </c>
      <c r="J184" s="13" t="inlineStr">
        <is>
          <t>Medium</t>
        </is>
      </c>
      <c r="K184" s="15" t="inlineStr">
        <is>
          <t>AUTOMATED</t>
        </is>
      </c>
    </row>
    <row r="185" ht="20" customHeight="1">
      <c r="A185" s="16" t="inlineStr">
        <is>
          <t>TC_APP_184</t>
        </is>
      </c>
      <c r="B185" s="17" t="inlineStr">
        <is>
          <t>Low Data Mode &amp; Bandwidth Usage</t>
        </is>
      </c>
      <c r="C185" s="17" t="inlineStr">
        <is>
          <t>Verify Low Data Mode toggle &amp; refresh rate reduction (Test #14)</t>
        </is>
      </c>
      <c r="D185" s="17" t="inlineStr">
        <is>
          <t>Settings tab open (~tab_data_settings)</t>
        </is>
      </c>
      <c r="E185" s="17" t="inlineStr">
        <is>
          <t>1. Toggle ~switch_low_data_mode ON
2. Inspect telemetry refresh interval setting
3. Monitor network bytes transferred card</t>
        </is>
      </c>
      <c r="F185" s="17" t="inlineStr">
        <is>
          <t>Low_Data_Mode=True, Threshold=140MB</t>
        </is>
      </c>
      <c r="G185" s="17" t="inlineStr">
        <is>
          <t>App reduces sync frequency and disables image previews to save mobile cellular bandwidth.</t>
        </is>
      </c>
      <c r="H185" s="16" t="inlineStr">
        <is>
          <t>Automated (Appium)</t>
        </is>
      </c>
      <c r="I185" s="16" t="inlineStr">
        <is>
          <t>P2</t>
        </is>
      </c>
      <c r="J185" s="16" t="inlineStr">
        <is>
          <t>Medium</t>
        </is>
      </c>
      <c r="K185" s="15" t="inlineStr">
        <is>
          <t>AUTOMATED</t>
        </is>
      </c>
    </row>
    <row r="186" ht="20" customHeight="1">
      <c r="A186" s="13" t="inlineStr">
        <is>
          <t>TC_APP_185</t>
        </is>
      </c>
      <c r="B186" s="14" t="inlineStr">
        <is>
          <t>Low Data Mode &amp; Bandwidth Usage</t>
        </is>
      </c>
      <c r="C186" s="14" t="inlineStr">
        <is>
          <t>Verify Low Data Mode toggle &amp; refresh rate reduction (Test #15)</t>
        </is>
      </c>
      <c r="D186" s="14" t="inlineStr">
        <is>
          <t>Settings tab open (~tab_data_settings)</t>
        </is>
      </c>
      <c r="E186" s="14" t="inlineStr">
        <is>
          <t>1. Toggle ~switch_low_data_mode ON
2. Inspect telemetry refresh interval setting
3. Monitor network bytes transferred card</t>
        </is>
      </c>
      <c r="F186" s="14" t="inlineStr">
        <is>
          <t>Low_Data_Mode=True, Threshold=150MB</t>
        </is>
      </c>
      <c r="G186" s="14" t="inlineStr">
        <is>
          <t>App reduces sync frequency and disables image previews to save mobile cellular bandwidth.</t>
        </is>
      </c>
      <c r="H186" s="13" t="inlineStr">
        <is>
          <t>Automated (Appium)</t>
        </is>
      </c>
      <c r="I186" s="13" t="inlineStr">
        <is>
          <t>P2</t>
        </is>
      </c>
      <c r="J186" s="13" t="inlineStr">
        <is>
          <t>Medium</t>
        </is>
      </c>
      <c r="K186" s="15" t="inlineStr">
        <is>
          <t>AUTOMATED</t>
        </is>
      </c>
    </row>
    <row r="187" ht="20" customHeight="1">
      <c r="A187" s="16" t="inlineStr">
        <is>
          <t>TC_APP_186</t>
        </is>
      </c>
      <c r="B187" s="17" t="inlineStr">
        <is>
          <t>Low Data Mode &amp; Bandwidth Usage</t>
        </is>
      </c>
      <c r="C187" s="17" t="inlineStr">
        <is>
          <t>Verify Low Data Mode toggle &amp; refresh rate reduction (Test #16)</t>
        </is>
      </c>
      <c r="D187" s="17" t="inlineStr">
        <is>
          <t>Settings tab open (~tab_data_settings)</t>
        </is>
      </c>
      <c r="E187" s="17" t="inlineStr">
        <is>
          <t>1. Toggle ~switch_low_data_mode ON
2. Inspect telemetry refresh interval setting
3. Monitor network bytes transferred card</t>
        </is>
      </c>
      <c r="F187" s="17" t="inlineStr">
        <is>
          <t>Low_Data_Mode=True, Threshold=160MB</t>
        </is>
      </c>
      <c r="G187" s="17" t="inlineStr">
        <is>
          <t>App reduces sync frequency and disables image previews to save mobile cellular bandwidth.</t>
        </is>
      </c>
      <c r="H187" s="16" t="inlineStr">
        <is>
          <t>Automated (Appium)</t>
        </is>
      </c>
      <c r="I187" s="16" t="inlineStr">
        <is>
          <t>P2</t>
        </is>
      </c>
      <c r="J187" s="16" t="inlineStr">
        <is>
          <t>Medium</t>
        </is>
      </c>
      <c r="K187" s="15" t="inlineStr">
        <is>
          <t>AUTOMATED</t>
        </is>
      </c>
    </row>
    <row r="188" ht="20" customHeight="1">
      <c r="A188" s="13" t="inlineStr">
        <is>
          <t>TC_APP_187</t>
        </is>
      </c>
      <c r="B188" s="14" t="inlineStr">
        <is>
          <t>Low Data Mode &amp; Bandwidth Usage</t>
        </is>
      </c>
      <c r="C188" s="14" t="inlineStr">
        <is>
          <t>Verify Low Data Mode toggle &amp; refresh rate reduction (Test #17)</t>
        </is>
      </c>
      <c r="D188" s="14" t="inlineStr">
        <is>
          <t>Settings tab open (~tab_data_settings)</t>
        </is>
      </c>
      <c r="E188" s="14" t="inlineStr">
        <is>
          <t>1. Toggle ~switch_low_data_mode ON
2. Inspect telemetry refresh interval setting
3. Monitor network bytes transferred card</t>
        </is>
      </c>
      <c r="F188" s="14" t="inlineStr">
        <is>
          <t>Low_Data_Mode=True, Threshold=170MB</t>
        </is>
      </c>
      <c r="G188" s="14" t="inlineStr">
        <is>
          <t>App reduces sync frequency and disables image previews to save mobile cellular bandwidth.</t>
        </is>
      </c>
      <c r="H188" s="13" t="inlineStr">
        <is>
          <t>Automated (Appium)</t>
        </is>
      </c>
      <c r="I188" s="13" t="inlineStr">
        <is>
          <t>P2</t>
        </is>
      </c>
      <c r="J188" s="13" t="inlineStr">
        <is>
          <t>Medium</t>
        </is>
      </c>
      <c r="K188" s="15" t="inlineStr">
        <is>
          <t>AUTOMATED</t>
        </is>
      </c>
    </row>
    <row r="189" ht="20" customHeight="1">
      <c r="A189" s="16" t="inlineStr">
        <is>
          <t>TC_APP_188</t>
        </is>
      </c>
      <c r="B189" s="17" t="inlineStr">
        <is>
          <t>Low Data Mode &amp; Bandwidth Usage</t>
        </is>
      </c>
      <c r="C189" s="17" t="inlineStr">
        <is>
          <t>Verify Low Data Mode toggle &amp; refresh rate reduction (Test #18)</t>
        </is>
      </c>
      <c r="D189" s="17" t="inlineStr">
        <is>
          <t>Settings tab open (~tab_data_settings)</t>
        </is>
      </c>
      <c r="E189" s="17" t="inlineStr">
        <is>
          <t>1. Toggle ~switch_low_data_mode ON
2. Inspect telemetry refresh interval setting
3. Monitor network bytes transferred card</t>
        </is>
      </c>
      <c r="F189" s="17" t="inlineStr">
        <is>
          <t>Low_Data_Mode=True, Threshold=180MB</t>
        </is>
      </c>
      <c r="G189" s="17" t="inlineStr">
        <is>
          <t>App reduces sync frequency and disables image previews to save mobile cellular bandwidth.</t>
        </is>
      </c>
      <c r="H189" s="16" t="inlineStr">
        <is>
          <t>Automated (Appium)</t>
        </is>
      </c>
      <c r="I189" s="16" t="inlineStr">
        <is>
          <t>P2</t>
        </is>
      </c>
      <c r="J189" s="16" t="inlineStr">
        <is>
          <t>Medium</t>
        </is>
      </c>
      <c r="K189" s="15" t="inlineStr">
        <is>
          <t>AUTOMATED</t>
        </is>
      </c>
    </row>
    <row r="190" ht="20" customHeight="1">
      <c r="A190" s="13" t="inlineStr">
        <is>
          <t>TC_APP_189</t>
        </is>
      </c>
      <c r="B190" s="14" t="inlineStr">
        <is>
          <t>Low Data Mode &amp; Bandwidth Usage</t>
        </is>
      </c>
      <c r="C190" s="14" t="inlineStr">
        <is>
          <t>Verify Low Data Mode toggle &amp; refresh rate reduction (Test #19)</t>
        </is>
      </c>
      <c r="D190" s="14" t="inlineStr">
        <is>
          <t>Settings tab open (~tab_data_settings)</t>
        </is>
      </c>
      <c r="E190" s="14" t="inlineStr">
        <is>
          <t>1. Toggle ~switch_low_data_mode ON
2. Inspect telemetry refresh interval setting
3. Monitor network bytes transferred card</t>
        </is>
      </c>
      <c r="F190" s="14" t="inlineStr">
        <is>
          <t>Low_Data_Mode=True, Threshold=190MB</t>
        </is>
      </c>
      <c r="G190" s="14" t="inlineStr">
        <is>
          <t>App reduces sync frequency and disables image previews to save mobile cellular bandwidth.</t>
        </is>
      </c>
      <c r="H190" s="13" t="inlineStr">
        <is>
          <t>Automated (Appium)</t>
        </is>
      </c>
      <c r="I190" s="13" t="inlineStr">
        <is>
          <t>P2</t>
        </is>
      </c>
      <c r="J190" s="13" t="inlineStr">
        <is>
          <t>Medium</t>
        </is>
      </c>
      <c r="K190" s="15" t="inlineStr">
        <is>
          <t>AUTOMATED</t>
        </is>
      </c>
    </row>
    <row r="191" ht="20" customHeight="1">
      <c r="A191" s="16" t="inlineStr">
        <is>
          <t>TC_APP_190</t>
        </is>
      </c>
      <c r="B191" s="17" t="inlineStr">
        <is>
          <t>Low Data Mode &amp; Bandwidth Usage</t>
        </is>
      </c>
      <c r="C191" s="17" t="inlineStr">
        <is>
          <t>Verify Low Data Mode toggle &amp; refresh rate reduction (Test #20)</t>
        </is>
      </c>
      <c r="D191" s="17" t="inlineStr">
        <is>
          <t>Settings tab open (~tab_data_settings)</t>
        </is>
      </c>
      <c r="E191" s="17" t="inlineStr">
        <is>
          <t>1. Toggle ~switch_low_data_mode ON
2. Inspect telemetry refresh interval setting
3. Monitor network bytes transferred card</t>
        </is>
      </c>
      <c r="F191" s="17" t="inlineStr">
        <is>
          <t>Low_Data_Mode=True, Threshold=200MB</t>
        </is>
      </c>
      <c r="G191" s="17" t="inlineStr">
        <is>
          <t>App reduces sync frequency and disables image previews to save mobile cellular bandwidth.</t>
        </is>
      </c>
      <c r="H191" s="16" t="inlineStr">
        <is>
          <t>Automated (Appium)</t>
        </is>
      </c>
      <c r="I191" s="16" t="inlineStr">
        <is>
          <t>P2</t>
        </is>
      </c>
      <c r="J191" s="16" t="inlineStr">
        <is>
          <t>Medium</t>
        </is>
      </c>
      <c r="K191" s="15" t="inlineStr">
        <is>
          <t>AUTOMATED</t>
        </is>
      </c>
    </row>
    <row r="192" ht="20" customHeight="1">
      <c r="A192" s="13" t="inlineStr">
        <is>
          <t>TC_APP_191</t>
        </is>
      </c>
      <c r="B192" s="14" t="inlineStr">
        <is>
          <t>Biometric Unlock &amp; OS Permissions</t>
        </is>
      </c>
      <c r="C192" s="14" t="inlineStr">
        <is>
          <t>Verify Fingerprint Authentication Success</t>
        </is>
      </c>
      <c r="D192" s="14" t="inlineStr">
        <is>
          <t>Appium biometric emulation capabilities configured</t>
        </is>
      </c>
      <c r="E192" s="14" t="inlineStr">
        <is>
          <t>1. Trigger biometric action (Android BiometricPrompt)
2. Execute driver.fingerPrint() or touchId()
3. Verify app unlock state</t>
        </is>
      </c>
      <c r="F192" s="14" t="inlineStr">
        <is>
          <t>Biometric_Type=Android BiometricPrompt</t>
        </is>
      </c>
      <c r="G192" s="14" t="inlineStr">
        <is>
          <t>App handles biometric auth safely. Unlocks app immediately.</t>
        </is>
      </c>
      <c r="H192" s="13" t="inlineStr">
        <is>
          <t>Automated (Appium)</t>
        </is>
      </c>
      <c r="I192" s="13" t="inlineStr">
        <is>
          <t>P1</t>
        </is>
      </c>
      <c r="J192" s="13" t="inlineStr">
        <is>
          <t>High</t>
        </is>
      </c>
      <c r="K192" s="15" t="inlineStr">
        <is>
          <t>PASSED</t>
        </is>
      </c>
    </row>
    <row r="193" ht="20" customHeight="1">
      <c r="A193" s="16" t="inlineStr">
        <is>
          <t>TC_APP_192</t>
        </is>
      </c>
      <c r="B193" s="17" t="inlineStr">
        <is>
          <t>Biometric Unlock &amp; OS Permissions</t>
        </is>
      </c>
      <c r="C193" s="17" t="inlineStr">
        <is>
          <t>Verify Face ID Authentication Success</t>
        </is>
      </c>
      <c r="D193" s="17" t="inlineStr">
        <is>
          <t>Appium biometric emulation capabilities configured</t>
        </is>
      </c>
      <c r="E193" s="17" t="inlineStr">
        <is>
          <t>1. Trigger biometric action (iOS LocalAuthentication)
2. Execute driver.fingerPrint() or touchId()
3. Verify app unlock state</t>
        </is>
      </c>
      <c r="F193" s="17" t="inlineStr">
        <is>
          <t>Biometric_Type=iOS LocalAuthentication</t>
        </is>
      </c>
      <c r="G193" s="17" t="inlineStr">
        <is>
          <t>App handles biometric auth safely. Unlocks app immediately.</t>
        </is>
      </c>
      <c r="H193" s="16" t="inlineStr">
        <is>
          <t>Automated (Appium)</t>
        </is>
      </c>
      <c r="I193" s="16" t="inlineStr">
        <is>
          <t>P1</t>
        </is>
      </c>
      <c r="J193" s="16" t="inlineStr">
        <is>
          <t>High</t>
        </is>
      </c>
      <c r="K193" s="15" t="inlineStr">
        <is>
          <t>PASSED</t>
        </is>
      </c>
    </row>
    <row r="194" ht="20" customHeight="1">
      <c r="A194" s="13" t="inlineStr">
        <is>
          <t>TC_APP_193</t>
        </is>
      </c>
      <c r="B194" s="14" t="inlineStr">
        <is>
          <t>Biometric Unlock &amp; OS Permissions</t>
        </is>
      </c>
      <c r="C194" s="14" t="inlineStr">
        <is>
          <t>Verify Fingerprint Not Recognized (3 Attempts)</t>
        </is>
      </c>
      <c r="D194" s="14" t="inlineStr">
        <is>
          <t>Appium biometric emulation capabilities configured</t>
        </is>
      </c>
      <c r="E194" s="14" t="inlineStr">
        <is>
          <t>1. Trigger biometric action (Android BiometricPrompt)
2. Execute driver.fingerPrint() or touchId()
3. Verify app unlock state</t>
        </is>
      </c>
      <c r="F194" s="14" t="inlineStr">
        <is>
          <t>Biometric_Type=Android BiometricPrompt</t>
        </is>
      </c>
      <c r="G194" s="14" t="inlineStr">
        <is>
          <t>App handles biometric auth safely. Prompts fallback passcode input.</t>
        </is>
      </c>
      <c r="H194" s="13" t="inlineStr">
        <is>
          <t>Automated (Appium)</t>
        </is>
      </c>
      <c r="I194" s="13" t="inlineStr">
        <is>
          <t>P1</t>
        </is>
      </c>
      <c r="J194" s="13" t="inlineStr">
        <is>
          <t>High</t>
        </is>
      </c>
      <c r="K194" s="15" t="inlineStr">
        <is>
          <t>PASSED</t>
        </is>
      </c>
    </row>
    <row r="195" ht="20" customHeight="1">
      <c r="A195" s="16" t="inlineStr">
        <is>
          <t>TC_APP_194</t>
        </is>
      </c>
      <c r="B195" s="17" t="inlineStr">
        <is>
          <t>Biometric Unlock &amp; OS Permissions</t>
        </is>
      </c>
      <c r="C195" s="17" t="inlineStr">
        <is>
          <t>Verify Face ID Cancelled by User</t>
        </is>
      </c>
      <c r="D195" s="17" t="inlineStr">
        <is>
          <t>Appium biometric emulation capabilities configured</t>
        </is>
      </c>
      <c r="E195" s="17" t="inlineStr">
        <is>
          <t>1. Trigger biometric action (iOS LocalAuthentication)
2. Execute driver.fingerPrint() or touchId()
3. Verify app unlock state</t>
        </is>
      </c>
      <c r="F195" s="17" t="inlineStr">
        <is>
          <t>Biometric_Type=iOS LocalAuthentication</t>
        </is>
      </c>
      <c r="G195" s="17" t="inlineStr">
        <is>
          <t>App handles biometric auth safely. Stays on passcode entry screen.</t>
        </is>
      </c>
      <c r="H195" s="16" t="inlineStr">
        <is>
          <t>Automated (Appium)</t>
        </is>
      </c>
      <c r="I195" s="16" t="inlineStr">
        <is>
          <t>P1</t>
        </is>
      </c>
      <c r="J195" s="16" t="inlineStr">
        <is>
          <t>High</t>
        </is>
      </c>
      <c r="K195" s="15" t="inlineStr">
        <is>
          <t>PASSED</t>
        </is>
      </c>
    </row>
    <row r="196" ht="20" customHeight="1">
      <c r="A196" s="13" t="inlineStr">
        <is>
          <t>TC_APP_195</t>
        </is>
      </c>
      <c r="B196" s="14" t="inlineStr">
        <is>
          <t>Biometric Unlock &amp; OS Permissions</t>
        </is>
      </c>
      <c r="C196" s="14" t="inlineStr">
        <is>
          <t>Verify Camera Permission Grant for QR Code scanner</t>
        </is>
      </c>
      <c r="D196" s="14" t="inlineStr">
        <is>
          <t>Appium biometric emulation capabilities configured</t>
        </is>
      </c>
      <c r="E196" s="14" t="inlineStr">
        <is>
          <t>1. Trigger biometric action (Android Manifest Permission)
2. Execute driver.fingerPrint() or touchId()
3. Verify app unlock state</t>
        </is>
      </c>
      <c r="F196" s="14" t="inlineStr">
        <is>
          <t>Biometric_Type=Android Manifest Permission</t>
        </is>
      </c>
      <c r="G196" s="14" t="inlineStr">
        <is>
          <t>App handles biometric auth safely. Enables QR IP lookup scanner.</t>
        </is>
      </c>
      <c r="H196" s="13" t="inlineStr">
        <is>
          <t>Automated (Appium)</t>
        </is>
      </c>
      <c r="I196" s="13" t="inlineStr">
        <is>
          <t>P1</t>
        </is>
      </c>
      <c r="J196" s="13" t="inlineStr">
        <is>
          <t>High</t>
        </is>
      </c>
      <c r="K196" s="15" t="inlineStr">
        <is>
          <t>PASSED</t>
        </is>
      </c>
    </row>
    <row r="197" ht="20" customHeight="1">
      <c r="A197" s="16" t="inlineStr">
        <is>
          <t>TC_APP_196</t>
        </is>
      </c>
      <c r="B197" s="17" t="inlineStr">
        <is>
          <t>Biometric Unlock &amp; OS Permissions</t>
        </is>
      </c>
      <c r="C197" s="17" t="inlineStr">
        <is>
          <t>Verify Notification Permission Denied</t>
        </is>
      </c>
      <c r="D197" s="17" t="inlineStr">
        <is>
          <t>Appium biometric emulation capabilities configured</t>
        </is>
      </c>
      <c r="E197" s="17" t="inlineStr">
        <is>
          <t>1. Trigger biometric action (Android 13+ Notification Prompt)
2. Execute driver.fingerPrint() or touchId()
3. Verify app unlock state</t>
        </is>
      </c>
      <c r="F197" s="17" t="inlineStr">
        <is>
          <t>Biometric_Type=Android 13+ Notification Prompt</t>
        </is>
      </c>
      <c r="G197" s="17" t="inlineStr">
        <is>
          <t>App handles biometric auth safely. App displays banner prompting settings change.</t>
        </is>
      </c>
      <c r="H197" s="16" t="inlineStr">
        <is>
          <t>Automated (Appium)</t>
        </is>
      </c>
      <c r="I197" s="16" t="inlineStr">
        <is>
          <t>P1</t>
        </is>
      </c>
      <c r="J197" s="16" t="inlineStr">
        <is>
          <t>High</t>
        </is>
      </c>
      <c r="K197" s="15" t="inlineStr">
        <is>
          <t>PASSED</t>
        </is>
      </c>
    </row>
    <row r="198" ht="20" customHeight="1">
      <c r="A198" s="13" t="inlineStr">
        <is>
          <t>TC_APP_197</t>
        </is>
      </c>
      <c r="B198" s="14" t="inlineStr">
        <is>
          <t>Biometric Unlock &amp; OS Permissions</t>
        </is>
      </c>
      <c r="C198" s="14" t="inlineStr">
        <is>
          <t>Verify Fine Location Permission Grant</t>
        </is>
      </c>
      <c r="D198" s="14" t="inlineStr">
        <is>
          <t>Appium biometric emulation capabilities configured</t>
        </is>
      </c>
      <c r="E198" s="14" t="inlineStr">
        <is>
          <t>1. Trigger biometric action (Android Access Fine Location)
2. Execute driver.fingerPrint() or touchId()
3. Verify app unlock state</t>
        </is>
      </c>
      <c r="F198" s="14" t="inlineStr">
        <is>
          <t>Biometric_Type=Android Access Fine Location</t>
        </is>
      </c>
      <c r="G198" s="14" t="inlineStr">
        <is>
          <t>App handles biometric auth safely. Captures zone location metadata.</t>
        </is>
      </c>
      <c r="H198" s="13" t="inlineStr">
        <is>
          <t>Automated (Appium)</t>
        </is>
      </c>
      <c r="I198" s="13" t="inlineStr">
        <is>
          <t>P1</t>
        </is>
      </c>
      <c r="J198" s="13" t="inlineStr">
        <is>
          <t>High</t>
        </is>
      </c>
      <c r="K198" s="15" t="inlineStr">
        <is>
          <t>PASSED</t>
        </is>
      </c>
    </row>
    <row r="199" ht="20" customHeight="1">
      <c r="A199" s="16" t="inlineStr">
        <is>
          <t>TC_APP_198</t>
        </is>
      </c>
      <c r="B199" s="17" t="inlineStr">
        <is>
          <t>Biometric Unlock &amp; OS Permissions</t>
        </is>
      </c>
      <c r="C199" s="17" t="inlineStr">
        <is>
          <t>Verify Background Location Permission Prompt</t>
        </is>
      </c>
      <c r="D199" s="17" t="inlineStr">
        <is>
          <t>Appium biometric emulation capabilities configured</t>
        </is>
      </c>
      <c r="E199" s="17" t="inlineStr">
        <is>
          <t>1. Trigger biometric action (OS Location Dialog)
2. Execute driver.fingerPrint() or touchId()
3. Verify app unlock state</t>
        </is>
      </c>
      <c r="F199" s="17" t="inlineStr">
        <is>
          <t>Biometric_Type=OS Location Dialog</t>
        </is>
      </c>
      <c r="G199" s="17" t="inlineStr">
        <is>
          <t>App handles biometric auth safely. Explains usage rationale cleanly.</t>
        </is>
      </c>
      <c r="H199" s="16" t="inlineStr">
        <is>
          <t>Automated (Appium)</t>
        </is>
      </c>
      <c r="I199" s="16" t="inlineStr">
        <is>
          <t>P1</t>
        </is>
      </c>
      <c r="J199" s="16" t="inlineStr">
        <is>
          <t>High</t>
        </is>
      </c>
      <c r="K199" s="15" t="inlineStr">
        <is>
          <t>PASSED</t>
        </is>
      </c>
    </row>
    <row r="200" ht="20" customHeight="1">
      <c r="A200" s="13" t="inlineStr">
        <is>
          <t>TC_APP_199</t>
        </is>
      </c>
      <c r="B200" s="14" t="inlineStr">
        <is>
          <t>Biometric Unlock &amp; OS Permissions</t>
        </is>
      </c>
      <c r="C200" s="14" t="inlineStr">
        <is>
          <t>Verify Biometric Sensor Not Enrolled on Device</t>
        </is>
      </c>
      <c r="D200" s="14" t="inlineStr">
        <is>
          <t>Appium biometric emulation capabilities configured</t>
        </is>
      </c>
      <c r="E200" s="14" t="inlineStr">
        <is>
          <t>1. Trigger biometric action (Hardware State)
2. Execute driver.fingerPrint() or touchId()
3. Verify app unlock state</t>
        </is>
      </c>
      <c r="F200" s="14" t="inlineStr">
        <is>
          <t>Biometric_Type=Hardware State</t>
        </is>
      </c>
      <c r="G200" s="14" t="inlineStr">
        <is>
          <t>App handles biometric auth safely. Hides biometric button and defaults to PIN.</t>
        </is>
      </c>
      <c r="H200" s="13" t="inlineStr">
        <is>
          <t>Automated (Appium)</t>
        </is>
      </c>
      <c r="I200" s="13" t="inlineStr">
        <is>
          <t>P2</t>
        </is>
      </c>
      <c r="J200" s="13" t="inlineStr">
        <is>
          <t>Medium</t>
        </is>
      </c>
      <c r="K200" s="15" t="inlineStr">
        <is>
          <t>PASSED</t>
        </is>
      </c>
    </row>
    <row r="201" ht="20" customHeight="1">
      <c r="A201" s="16" t="inlineStr">
        <is>
          <t>TC_APP_200</t>
        </is>
      </c>
      <c r="B201" s="17" t="inlineStr">
        <is>
          <t>Biometric Unlock &amp; OS Permissions</t>
        </is>
      </c>
      <c r="C201" s="17" t="inlineStr">
        <is>
          <t>Verify Device Passcode Fallback Trigger</t>
        </is>
      </c>
      <c r="D201" s="17" t="inlineStr">
        <is>
          <t>Appium biometric emulation capabilities configured</t>
        </is>
      </c>
      <c r="E201" s="17" t="inlineStr">
        <is>
          <t>1. Trigger biometric action (OS Keyguard)
2. Execute driver.fingerPrint() or touchId()
3. Verify app unlock state</t>
        </is>
      </c>
      <c r="F201" s="17" t="inlineStr">
        <is>
          <t>Biometric_Type=OS Keyguard</t>
        </is>
      </c>
      <c r="G201" s="17" t="inlineStr">
        <is>
          <t>App handles biometric auth safely. Allows OS device pin unlock fallback.</t>
        </is>
      </c>
      <c r="H201" s="16" t="inlineStr">
        <is>
          <t>Automated (Appium)</t>
        </is>
      </c>
      <c r="I201" s="16" t="inlineStr">
        <is>
          <t>P2</t>
        </is>
      </c>
      <c r="J201" s="16" t="inlineStr">
        <is>
          <t>Medium</t>
        </is>
      </c>
      <c r="K201" s="15" t="inlineStr">
        <is>
          <t>PASSED</t>
        </is>
      </c>
    </row>
    <row r="202" ht="20" customHeight="1">
      <c r="A202" s="13" t="inlineStr">
        <is>
          <t>TC_APP_201</t>
        </is>
      </c>
      <c r="B202" s="14" t="inlineStr">
        <is>
          <t>Biometric Unlock &amp; OS Permissions</t>
        </is>
      </c>
      <c r="C202" s="14" t="inlineStr">
        <is>
          <t>Verify Biometric &amp; Permission Edge Case #11</t>
        </is>
      </c>
      <c r="D202" s="14" t="inlineStr">
        <is>
          <t>Appium biometric emulation capabilities configured</t>
        </is>
      </c>
      <c r="E202" s="14" t="inlineStr">
        <is>
          <t>1. Trigger biometric action (Appium Permission Driver)
2. Execute driver.fingerPrint() or touchId()
3. Verify app unlock state</t>
        </is>
      </c>
      <c r="F202" s="14" t="inlineStr">
        <is>
          <t>Biometric_Type=Appium Permission Driver</t>
        </is>
      </c>
      <c r="G202" s="14" t="inlineStr">
        <is>
          <t>App handles biometric auth safely. App handles OS permission state cleanly..</t>
        </is>
      </c>
      <c r="H202" s="13" t="inlineStr">
        <is>
          <t>Automated (Appium)</t>
        </is>
      </c>
      <c r="I202" s="13" t="inlineStr">
        <is>
          <t>P2</t>
        </is>
      </c>
      <c r="J202" s="13" t="inlineStr">
        <is>
          <t>Medium</t>
        </is>
      </c>
      <c r="K202" s="15" t="inlineStr">
        <is>
          <t>AUTOMATED</t>
        </is>
      </c>
    </row>
    <row r="203" ht="20" customHeight="1">
      <c r="A203" s="16" t="inlineStr">
        <is>
          <t>TC_APP_202</t>
        </is>
      </c>
      <c r="B203" s="17" t="inlineStr">
        <is>
          <t>Biometric Unlock &amp; OS Permissions</t>
        </is>
      </c>
      <c r="C203" s="17" t="inlineStr">
        <is>
          <t>Verify Biometric &amp; Permission Edge Case #12</t>
        </is>
      </c>
      <c r="D203" s="17" t="inlineStr">
        <is>
          <t>Appium biometric emulation capabilities configured</t>
        </is>
      </c>
      <c r="E203" s="17" t="inlineStr">
        <is>
          <t>1. Trigger biometric action (Appium Permission Driver)
2. Execute driver.fingerPrint() or touchId()
3. Verify app unlock state</t>
        </is>
      </c>
      <c r="F203" s="17" t="inlineStr">
        <is>
          <t>Biometric_Type=Appium Permission Driver</t>
        </is>
      </c>
      <c r="G203" s="17" t="inlineStr">
        <is>
          <t>App handles biometric auth safely. App handles OS permission state cleanly..</t>
        </is>
      </c>
      <c r="H203" s="16" t="inlineStr">
        <is>
          <t>Automated (Appium)</t>
        </is>
      </c>
      <c r="I203" s="16" t="inlineStr">
        <is>
          <t>P2</t>
        </is>
      </c>
      <c r="J203" s="16" t="inlineStr">
        <is>
          <t>Medium</t>
        </is>
      </c>
      <c r="K203" s="15" t="inlineStr">
        <is>
          <t>AUTOMATED</t>
        </is>
      </c>
    </row>
    <row r="204" ht="20" customHeight="1">
      <c r="A204" s="13" t="inlineStr">
        <is>
          <t>TC_APP_203</t>
        </is>
      </c>
      <c r="B204" s="14" t="inlineStr">
        <is>
          <t>Biometric Unlock &amp; OS Permissions</t>
        </is>
      </c>
      <c r="C204" s="14" t="inlineStr">
        <is>
          <t>Verify Biometric &amp; Permission Edge Case #13</t>
        </is>
      </c>
      <c r="D204" s="14" t="inlineStr">
        <is>
          <t>Appium biometric emulation capabilities configured</t>
        </is>
      </c>
      <c r="E204" s="14" t="inlineStr">
        <is>
          <t>1. Trigger biometric action (Appium Permission Driver)
2. Execute driver.fingerPrint() or touchId()
3. Verify app unlock state</t>
        </is>
      </c>
      <c r="F204" s="14" t="inlineStr">
        <is>
          <t>Biometric_Type=Appium Permission Driver</t>
        </is>
      </c>
      <c r="G204" s="14" t="inlineStr">
        <is>
          <t>App handles biometric auth safely. App handles OS permission state cleanly..</t>
        </is>
      </c>
      <c r="H204" s="13" t="inlineStr">
        <is>
          <t>Manual</t>
        </is>
      </c>
      <c r="I204" s="13" t="inlineStr">
        <is>
          <t>P2</t>
        </is>
      </c>
      <c r="J204" s="13" t="inlineStr">
        <is>
          <t>Medium</t>
        </is>
      </c>
      <c r="K204" s="15" t="inlineStr">
        <is>
          <t>AUTOMATED</t>
        </is>
      </c>
    </row>
    <row r="205" ht="20" customHeight="1">
      <c r="A205" s="16" t="inlineStr">
        <is>
          <t>TC_APP_204</t>
        </is>
      </c>
      <c r="B205" s="17" t="inlineStr">
        <is>
          <t>Biometric Unlock &amp; OS Permissions</t>
        </is>
      </c>
      <c r="C205" s="17" t="inlineStr">
        <is>
          <t>Verify Biometric &amp; Permission Edge Case #14</t>
        </is>
      </c>
      <c r="D205" s="17" t="inlineStr">
        <is>
          <t>Appium biometric emulation capabilities configured</t>
        </is>
      </c>
      <c r="E205" s="17" t="inlineStr">
        <is>
          <t>1. Trigger biometric action (Appium Permission Driver)
2. Execute driver.fingerPrint() or touchId()
3. Verify app unlock state</t>
        </is>
      </c>
      <c r="F205" s="17" t="inlineStr">
        <is>
          <t>Biometric_Type=Appium Permission Driver</t>
        </is>
      </c>
      <c r="G205" s="17" t="inlineStr">
        <is>
          <t>App handles biometric auth safely. App handles OS permission state cleanly..</t>
        </is>
      </c>
      <c r="H205" s="16" t="inlineStr">
        <is>
          <t>Manual</t>
        </is>
      </c>
      <c r="I205" s="16" t="inlineStr">
        <is>
          <t>P2</t>
        </is>
      </c>
      <c r="J205" s="16" t="inlineStr">
        <is>
          <t>Medium</t>
        </is>
      </c>
      <c r="K205" s="15" t="inlineStr">
        <is>
          <t>AUTOMATED</t>
        </is>
      </c>
    </row>
    <row r="206" ht="20" customHeight="1">
      <c r="A206" s="13" t="inlineStr">
        <is>
          <t>TC_APP_205</t>
        </is>
      </c>
      <c r="B206" s="14" t="inlineStr">
        <is>
          <t>Biometric Unlock &amp; OS Permissions</t>
        </is>
      </c>
      <c r="C206" s="14" t="inlineStr">
        <is>
          <t>Verify Biometric &amp; Permission Edge Case #15</t>
        </is>
      </c>
      <c r="D206" s="14" t="inlineStr">
        <is>
          <t>Appium biometric emulation capabilities configured</t>
        </is>
      </c>
      <c r="E206" s="14" t="inlineStr">
        <is>
          <t>1. Trigger biometric action (Appium Permission Driver)
2. Execute driver.fingerPrint() or touchId()
3. Verify app unlock state</t>
        </is>
      </c>
      <c r="F206" s="14" t="inlineStr">
        <is>
          <t>Biometric_Type=Appium Permission Driver</t>
        </is>
      </c>
      <c r="G206" s="14" t="inlineStr">
        <is>
          <t>App handles biometric auth safely. App handles OS permission state cleanly..</t>
        </is>
      </c>
      <c r="H206" s="13" t="inlineStr">
        <is>
          <t>Manual</t>
        </is>
      </c>
      <c r="I206" s="13" t="inlineStr">
        <is>
          <t>P2</t>
        </is>
      </c>
      <c r="J206" s="13" t="inlineStr">
        <is>
          <t>Medium</t>
        </is>
      </c>
      <c r="K206" s="15" t="inlineStr">
        <is>
          <t>AUTOMATED</t>
        </is>
      </c>
    </row>
    <row r="207" ht="20" customHeight="1">
      <c r="A207" s="16" t="inlineStr">
        <is>
          <t>TC_APP_206</t>
        </is>
      </c>
      <c r="B207" s="17" t="inlineStr">
        <is>
          <t>Biometric Unlock &amp; OS Permissions</t>
        </is>
      </c>
      <c r="C207" s="17" t="inlineStr">
        <is>
          <t>Verify Biometric &amp; Permission Edge Case #16</t>
        </is>
      </c>
      <c r="D207" s="17" t="inlineStr">
        <is>
          <t>Appium biometric emulation capabilities configured</t>
        </is>
      </c>
      <c r="E207" s="17" t="inlineStr">
        <is>
          <t>1. Trigger biometric action (Appium Permission Driver)
2. Execute driver.fingerPrint() or touchId()
3. Verify app unlock state</t>
        </is>
      </c>
      <c r="F207" s="17" t="inlineStr">
        <is>
          <t>Biometric_Type=Appium Permission Driver</t>
        </is>
      </c>
      <c r="G207" s="17" t="inlineStr">
        <is>
          <t>App handles biometric auth safely. App handles OS permission state cleanly..</t>
        </is>
      </c>
      <c r="H207" s="16" t="inlineStr">
        <is>
          <t>Manual</t>
        </is>
      </c>
      <c r="I207" s="16" t="inlineStr">
        <is>
          <t>P2</t>
        </is>
      </c>
      <c r="J207" s="16" t="inlineStr">
        <is>
          <t>Medium</t>
        </is>
      </c>
      <c r="K207" s="15" t="inlineStr">
        <is>
          <t>AUTOMATED</t>
        </is>
      </c>
    </row>
    <row r="208" ht="20" customHeight="1">
      <c r="A208" s="13" t="inlineStr">
        <is>
          <t>TC_APP_207</t>
        </is>
      </c>
      <c r="B208" s="14" t="inlineStr">
        <is>
          <t>Biometric Unlock &amp; OS Permissions</t>
        </is>
      </c>
      <c r="C208" s="14" t="inlineStr">
        <is>
          <t>Verify Biometric &amp; Permission Edge Case #17</t>
        </is>
      </c>
      <c r="D208" s="14" t="inlineStr">
        <is>
          <t>Appium biometric emulation capabilities configured</t>
        </is>
      </c>
      <c r="E208" s="14" t="inlineStr">
        <is>
          <t>1. Trigger biometric action (Appium Permission Driver)
2. Execute driver.fingerPrint() or touchId()
3. Verify app unlock state</t>
        </is>
      </c>
      <c r="F208" s="14" t="inlineStr">
        <is>
          <t>Biometric_Type=Appium Permission Driver</t>
        </is>
      </c>
      <c r="G208" s="14" t="inlineStr">
        <is>
          <t>App handles biometric auth safely. App handles OS permission state cleanly..</t>
        </is>
      </c>
      <c r="H208" s="13" t="inlineStr">
        <is>
          <t>Manual</t>
        </is>
      </c>
      <c r="I208" s="13" t="inlineStr">
        <is>
          <t>P2</t>
        </is>
      </c>
      <c r="J208" s="13" t="inlineStr">
        <is>
          <t>Medium</t>
        </is>
      </c>
      <c r="K208" s="15" t="inlineStr">
        <is>
          <t>AUTOMATED</t>
        </is>
      </c>
    </row>
    <row r="209" ht="20" customHeight="1">
      <c r="A209" s="16" t="inlineStr">
        <is>
          <t>TC_APP_208</t>
        </is>
      </c>
      <c r="B209" s="17" t="inlineStr">
        <is>
          <t>Biometric Unlock &amp; OS Permissions</t>
        </is>
      </c>
      <c r="C209" s="17" t="inlineStr">
        <is>
          <t>Verify Biometric &amp; Permission Edge Case #18</t>
        </is>
      </c>
      <c r="D209" s="17" t="inlineStr">
        <is>
          <t>Appium biometric emulation capabilities configured</t>
        </is>
      </c>
      <c r="E209" s="17" t="inlineStr">
        <is>
          <t>1. Trigger biometric action (Appium Permission Driver)
2. Execute driver.fingerPrint() or touchId()
3. Verify app unlock state</t>
        </is>
      </c>
      <c r="F209" s="17" t="inlineStr">
        <is>
          <t>Biometric_Type=Appium Permission Driver</t>
        </is>
      </c>
      <c r="G209" s="17" t="inlineStr">
        <is>
          <t>App handles biometric auth safely. App handles OS permission state cleanly..</t>
        </is>
      </c>
      <c r="H209" s="16" t="inlineStr">
        <is>
          <t>Manual</t>
        </is>
      </c>
      <c r="I209" s="16" t="inlineStr">
        <is>
          <t>P2</t>
        </is>
      </c>
      <c r="J209" s="16" t="inlineStr">
        <is>
          <t>Medium</t>
        </is>
      </c>
      <c r="K209" s="15" t="inlineStr">
        <is>
          <t>AUTOMATED</t>
        </is>
      </c>
    </row>
    <row r="210" ht="20" customHeight="1">
      <c r="A210" s="13" t="inlineStr">
        <is>
          <t>TC_APP_209</t>
        </is>
      </c>
      <c r="B210" s="14" t="inlineStr">
        <is>
          <t>Biometric Unlock &amp; OS Permissions</t>
        </is>
      </c>
      <c r="C210" s="14" t="inlineStr">
        <is>
          <t>Verify Biometric &amp; Permission Edge Case #19</t>
        </is>
      </c>
      <c r="D210" s="14" t="inlineStr">
        <is>
          <t>Appium biometric emulation capabilities configured</t>
        </is>
      </c>
      <c r="E210" s="14" t="inlineStr">
        <is>
          <t>1. Trigger biometric action (Appium Permission Driver)
2. Execute driver.fingerPrint() or touchId()
3. Verify app unlock state</t>
        </is>
      </c>
      <c r="F210" s="14" t="inlineStr">
        <is>
          <t>Biometric_Type=Appium Permission Driver</t>
        </is>
      </c>
      <c r="G210" s="14" t="inlineStr">
        <is>
          <t>App handles biometric auth safely. App handles OS permission state cleanly..</t>
        </is>
      </c>
      <c r="H210" s="13" t="inlineStr">
        <is>
          <t>Manual</t>
        </is>
      </c>
      <c r="I210" s="13" t="inlineStr">
        <is>
          <t>P2</t>
        </is>
      </c>
      <c r="J210" s="13" t="inlineStr">
        <is>
          <t>Medium</t>
        </is>
      </c>
      <c r="K210" s="15" t="inlineStr">
        <is>
          <t>AUTOMATED</t>
        </is>
      </c>
    </row>
    <row r="211" ht="20" customHeight="1">
      <c r="A211" s="16" t="inlineStr">
        <is>
          <t>TC_APP_210</t>
        </is>
      </c>
      <c r="B211" s="17" t="inlineStr">
        <is>
          <t>Biometric Unlock &amp; OS Permissions</t>
        </is>
      </c>
      <c r="C211" s="17" t="inlineStr">
        <is>
          <t>Verify Biometric &amp; Permission Edge Case #20</t>
        </is>
      </c>
      <c r="D211" s="17" t="inlineStr">
        <is>
          <t>Appium biometric emulation capabilities configured</t>
        </is>
      </c>
      <c r="E211" s="17" t="inlineStr">
        <is>
          <t>1. Trigger biometric action (Appium Permission Driver)
2. Execute driver.fingerPrint() or touchId()
3. Verify app unlock state</t>
        </is>
      </c>
      <c r="F211" s="17" t="inlineStr">
        <is>
          <t>Biometric_Type=Appium Permission Driver</t>
        </is>
      </c>
      <c r="G211" s="17" t="inlineStr">
        <is>
          <t>App handles biometric auth safely. App handles OS permission state cleanly..</t>
        </is>
      </c>
      <c r="H211" s="16" t="inlineStr">
        <is>
          <t>Manual</t>
        </is>
      </c>
      <c r="I211" s="16" t="inlineStr">
        <is>
          <t>P2</t>
        </is>
      </c>
      <c r="J211" s="16" t="inlineStr">
        <is>
          <t>Medium</t>
        </is>
      </c>
      <c r="K211" s="15" t="inlineStr">
        <is>
          <t>AUTOMATED</t>
        </is>
      </c>
    </row>
    <row r="212" ht="20" customHeight="1">
      <c r="A212" s="13" t="inlineStr">
        <is>
          <t>TC_APP_211</t>
        </is>
      </c>
      <c r="B212" s="14" t="inlineStr">
        <is>
          <t>Mobile UI Layout &amp; Dark Mode</t>
        </is>
      </c>
      <c r="C212" s="14" t="inlineStr">
        <is>
          <t>Verify UI theme rendering in Light Mode for screen #1</t>
        </is>
      </c>
      <c r="D212" s="14" t="inlineStr">
        <is>
          <t>App theme settings active</t>
        </is>
      </c>
      <c r="E212" s="14" t="inlineStr">
        <is>
          <t>1. Set system theme to Light Mode
2. Open screen #1
3. Verify contrast, font size, and element spacing</t>
        </is>
      </c>
      <c r="F212" s="14" t="inlineStr">
        <is>
          <t>Theme=Light Mode, Screen_Index=1</t>
        </is>
      </c>
      <c r="G212" s="14" t="inlineStr">
        <is>
          <t>UI layout renders cleanly in Light Mode without text overlap or unreadable low contrast elements.</t>
        </is>
      </c>
      <c r="H212" s="13" t="inlineStr">
        <is>
          <t>Automated (Appium)</t>
        </is>
      </c>
      <c r="I212" s="13" t="inlineStr">
        <is>
          <t>P2</t>
        </is>
      </c>
      <c r="J212" s="13" t="inlineStr">
        <is>
          <t>Medium</t>
        </is>
      </c>
      <c r="K212" s="15" t="inlineStr">
        <is>
          <t>PASSED</t>
        </is>
      </c>
    </row>
    <row r="213" ht="20" customHeight="1">
      <c r="A213" s="16" t="inlineStr">
        <is>
          <t>TC_APP_212</t>
        </is>
      </c>
      <c r="B213" s="17" t="inlineStr">
        <is>
          <t>Mobile UI Layout &amp; Dark Mode</t>
        </is>
      </c>
      <c r="C213" s="17" t="inlineStr">
        <is>
          <t>Verify UI theme rendering in Dark Mode for screen #2</t>
        </is>
      </c>
      <c r="D213" s="17" t="inlineStr">
        <is>
          <t>App theme settings active</t>
        </is>
      </c>
      <c r="E213" s="17" t="inlineStr">
        <is>
          <t>1. Set system theme to Dark Mode
2. Open screen #2
3. Verify contrast, font size, and element spacing</t>
        </is>
      </c>
      <c r="F213" s="17" t="inlineStr">
        <is>
          <t>Theme=Dark Mode, Screen_Index=2</t>
        </is>
      </c>
      <c r="G213" s="17" t="inlineStr">
        <is>
          <t>UI layout renders cleanly in Dark Mode without text overlap or unreadable low contrast elements.</t>
        </is>
      </c>
      <c r="H213" s="16" t="inlineStr">
        <is>
          <t>Automated (Appium)</t>
        </is>
      </c>
      <c r="I213" s="16" t="inlineStr">
        <is>
          <t>P2</t>
        </is>
      </c>
      <c r="J213" s="16" t="inlineStr">
        <is>
          <t>Medium</t>
        </is>
      </c>
      <c r="K213" s="15" t="inlineStr">
        <is>
          <t>PASSED</t>
        </is>
      </c>
    </row>
    <row r="214" ht="20" customHeight="1">
      <c r="A214" s="13" t="inlineStr">
        <is>
          <t>TC_APP_213</t>
        </is>
      </c>
      <c r="B214" s="14" t="inlineStr">
        <is>
          <t>Mobile UI Layout &amp; Dark Mode</t>
        </is>
      </c>
      <c r="C214" s="14" t="inlineStr">
        <is>
          <t>Verify UI theme rendering in Light Mode for screen #3</t>
        </is>
      </c>
      <c r="D214" s="14" t="inlineStr">
        <is>
          <t>App theme settings active</t>
        </is>
      </c>
      <c r="E214" s="14" t="inlineStr">
        <is>
          <t>1. Set system theme to Light Mode
2. Open screen #3
3. Verify contrast, font size, and element spacing</t>
        </is>
      </c>
      <c r="F214" s="14" t="inlineStr">
        <is>
          <t>Theme=Light Mode, Screen_Index=3</t>
        </is>
      </c>
      <c r="G214" s="14" t="inlineStr">
        <is>
          <t>UI layout renders cleanly in Light Mode without text overlap or unreadable low contrast elements.</t>
        </is>
      </c>
      <c r="H214" s="13" t="inlineStr">
        <is>
          <t>Automated (Appium)</t>
        </is>
      </c>
      <c r="I214" s="13" t="inlineStr">
        <is>
          <t>P2</t>
        </is>
      </c>
      <c r="J214" s="13" t="inlineStr">
        <is>
          <t>Medium</t>
        </is>
      </c>
      <c r="K214" s="15" t="inlineStr">
        <is>
          <t>PASSED</t>
        </is>
      </c>
    </row>
    <row r="215" ht="20" customHeight="1">
      <c r="A215" s="16" t="inlineStr">
        <is>
          <t>TC_APP_214</t>
        </is>
      </c>
      <c r="B215" s="17" t="inlineStr">
        <is>
          <t>Mobile UI Layout &amp; Dark Mode</t>
        </is>
      </c>
      <c r="C215" s="17" t="inlineStr">
        <is>
          <t>Verify UI theme rendering in Dark Mode for screen #4</t>
        </is>
      </c>
      <c r="D215" s="17" t="inlineStr">
        <is>
          <t>App theme settings active</t>
        </is>
      </c>
      <c r="E215" s="17" t="inlineStr">
        <is>
          <t>1. Set system theme to Dark Mode
2. Open screen #4
3. Verify contrast, font size, and element spacing</t>
        </is>
      </c>
      <c r="F215" s="17" t="inlineStr">
        <is>
          <t>Theme=Dark Mode, Screen_Index=4</t>
        </is>
      </c>
      <c r="G215" s="17" t="inlineStr">
        <is>
          <t>UI layout renders cleanly in Dark Mode without text overlap or unreadable low contrast elements.</t>
        </is>
      </c>
      <c r="H215" s="16" t="inlineStr">
        <is>
          <t>Automated (Appium)</t>
        </is>
      </c>
      <c r="I215" s="16" t="inlineStr">
        <is>
          <t>P2</t>
        </is>
      </c>
      <c r="J215" s="16" t="inlineStr">
        <is>
          <t>Medium</t>
        </is>
      </c>
      <c r="K215" s="15" t="inlineStr">
        <is>
          <t>PASSED</t>
        </is>
      </c>
    </row>
    <row r="216" ht="20" customHeight="1">
      <c r="A216" s="13" t="inlineStr">
        <is>
          <t>TC_APP_215</t>
        </is>
      </c>
      <c r="B216" s="14" t="inlineStr">
        <is>
          <t>Mobile UI Layout &amp; Dark Mode</t>
        </is>
      </c>
      <c r="C216" s="14" t="inlineStr">
        <is>
          <t>Verify UI theme rendering in Light Mode for screen #5</t>
        </is>
      </c>
      <c r="D216" s="14" t="inlineStr">
        <is>
          <t>App theme settings active</t>
        </is>
      </c>
      <c r="E216" s="14" t="inlineStr">
        <is>
          <t>1. Set system theme to Light Mode
2. Open screen #5
3. Verify contrast, font size, and element spacing</t>
        </is>
      </c>
      <c r="F216" s="14" t="inlineStr">
        <is>
          <t>Theme=Light Mode, Screen_Index=5</t>
        </is>
      </c>
      <c r="G216" s="14" t="inlineStr">
        <is>
          <t>UI layout renders cleanly in Light Mode without text overlap or unreadable low contrast elements.</t>
        </is>
      </c>
      <c r="H216" s="13" t="inlineStr">
        <is>
          <t>Automated (Appium)</t>
        </is>
      </c>
      <c r="I216" s="13" t="inlineStr">
        <is>
          <t>P2</t>
        </is>
      </c>
      <c r="J216" s="13" t="inlineStr">
        <is>
          <t>Medium</t>
        </is>
      </c>
      <c r="K216" s="15" t="inlineStr">
        <is>
          <t>PASSED</t>
        </is>
      </c>
    </row>
    <row r="217" ht="20" customHeight="1">
      <c r="A217" s="16" t="inlineStr">
        <is>
          <t>TC_APP_216</t>
        </is>
      </c>
      <c r="B217" s="17" t="inlineStr">
        <is>
          <t>Mobile UI Layout &amp; Dark Mode</t>
        </is>
      </c>
      <c r="C217" s="17" t="inlineStr">
        <is>
          <t>Verify UI theme rendering in Dark Mode for screen #6</t>
        </is>
      </c>
      <c r="D217" s="17" t="inlineStr">
        <is>
          <t>App theme settings active</t>
        </is>
      </c>
      <c r="E217" s="17" t="inlineStr">
        <is>
          <t>1. Set system theme to Dark Mode
2. Open screen #6
3. Verify contrast, font size, and element spacing</t>
        </is>
      </c>
      <c r="F217" s="17" t="inlineStr">
        <is>
          <t>Theme=Dark Mode, Screen_Index=6</t>
        </is>
      </c>
      <c r="G217" s="17" t="inlineStr">
        <is>
          <t>UI layout renders cleanly in Dark Mode without text overlap or unreadable low contrast elements.</t>
        </is>
      </c>
      <c r="H217" s="16" t="inlineStr">
        <is>
          <t>Automated (Appium)</t>
        </is>
      </c>
      <c r="I217" s="16" t="inlineStr">
        <is>
          <t>P2</t>
        </is>
      </c>
      <c r="J217" s="16" t="inlineStr">
        <is>
          <t>Medium</t>
        </is>
      </c>
      <c r="K217" s="15" t="inlineStr">
        <is>
          <t>PASSED</t>
        </is>
      </c>
    </row>
    <row r="218" ht="20" customHeight="1">
      <c r="A218" s="13" t="inlineStr">
        <is>
          <t>TC_APP_217</t>
        </is>
      </c>
      <c r="B218" s="14" t="inlineStr">
        <is>
          <t>Mobile UI Layout &amp; Dark Mode</t>
        </is>
      </c>
      <c r="C218" s="14" t="inlineStr">
        <is>
          <t>Verify UI theme rendering in Light Mode for screen #7</t>
        </is>
      </c>
      <c r="D218" s="14" t="inlineStr">
        <is>
          <t>App theme settings active</t>
        </is>
      </c>
      <c r="E218" s="14" t="inlineStr">
        <is>
          <t>1. Set system theme to Light Mode
2. Open screen #7
3. Verify contrast, font size, and element spacing</t>
        </is>
      </c>
      <c r="F218" s="14" t="inlineStr">
        <is>
          <t>Theme=Light Mode, Screen_Index=7</t>
        </is>
      </c>
      <c r="G218" s="14" t="inlineStr">
        <is>
          <t>UI layout renders cleanly in Light Mode without text overlap or unreadable low contrast elements.</t>
        </is>
      </c>
      <c r="H218" s="13" t="inlineStr">
        <is>
          <t>Automated (Appium)</t>
        </is>
      </c>
      <c r="I218" s="13" t="inlineStr">
        <is>
          <t>P2</t>
        </is>
      </c>
      <c r="J218" s="13" t="inlineStr">
        <is>
          <t>Medium</t>
        </is>
      </c>
      <c r="K218" s="15" t="inlineStr">
        <is>
          <t>PASSED</t>
        </is>
      </c>
    </row>
    <row r="219" ht="20" customHeight="1">
      <c r="A219" s="16" t="inlineStr">
        <is>
          <t>TC_APP_218</t>
        </is>
      </c>
      <c r="B219" s="17" t="inlineStr">
        <is>
          <t>Mobile UI Layout &amp; Dark Mode</t>
        </is>
      </c>
      <c r="C219" s="17" t="inlineStr">
        <is>
          <t>Verify UI theme rendering in Dark Mode for screen #8</t>
        </is>
      </c>
      <c r="D219" s="17" t="inlineStr">
        <is>
          <t>App theme settings active</t>
        </is>
      </c>
      <c r="E219" s="17" t="inlineStr">
        <is>
          <t>1. Set system theme to Dark Mode
2. Open screen #8
3. Verify contrast, font size, and element spacing</t>
        </is>
      </c>
      <c r="F219" s="17" t="inlineStr">
        <is>
          <t>Theme=Dark Mode, Screen_Index=8</t>
        </is>
      </c>
      <c r="G219" s="17" t="inlineStr">
        <is>
          <t>UI layout renders cleanly in Dark Mode without text overlap or unreadable low contrast elements.</t>
        </is>
      </c>
      <c r="H219" s="16" t="inlineStr">
        <is>
          <t>Automated (Appium)</t>
        </is>
      </c>
      <c r="I219" s="16" t="inlineStr">
        <is>
          <t>P2</t>
        </is>
      </c>
      <c r="J219" s="16" t="inlineStr">
        <is>
          <t>Medium</t>
        </is>
      </c>
      <c r="K219" s="15" t="inlineStr">
        <is>
          <t>PASSED</t>
        </is>
      </c>
    </row>
    <row r="220" ht="20" customHeight="1">
      <c r="A220" s="13" t="inlineStr">
        <is>
          <t>TC_APP_219</t>
        </is>
      </c>
      <c r="B220" s="14" t="inlineStr">
        <is>
          <t>Mobile UI Layout &amp; Dark Mode</t>
        </is>
      </c>
      <c r="C220" s="14" t="inlineStr">
        <is>
          <t>Verify UI theme rendering in Light Mode for screen #9</t>
        </is>
      </c>
      <c r="D220" s="14" t="inlineStr">
        <is>
          <t>App theme settings active</t>
        </is>
      </c>
      <c r="E220" s="14" t="inlineStr">
        <is>
          <t>1. Set system theme to Light Mode
2. Open screen #9
3. Verify contrast, font size, and element spacing</t>
        </is>
      </c>
      <c r="F220" s="14" t="inlineStr">
        <is>
          <t>Theme=Light Mode, Screen_Index=9</t>
        </is>
      </c>
      <c r="G220" s="14" t="inlineStr">
        <is>
          <t>UI layout renders cleanly in Light Mode without text overlap or unreadable low contrast elements.</t>
        </is>
      </c>
      <c r="H220" s="13" t="inlineStr">
        <is>
          <t>Automated (Appium)</t>
        </is>
      </c>
      <c r="I220" s="13" t="inlineStr">
        <is>
          <t>P2</t>
        </is>
      </c>
      <c r="J220" s="13" t="inlineStr">
        <is>
          <t>Medium</t>
        </is>
      </c>
      <c r="K220" s="15" t="inlineStr">
        <is>
          <t>PASSED</t>
        </is>
      </c>
    </row>
    <row r="221" ht="20" customHeight="1">
      <c r="A221" s="16" t="inlineStr">
        <is>
          <t>TC_APP_220</t>
        </is>
      </c>
      <c r="B221" s="17" t="inlineStr">
        <is>
          <t>Mobile UI Layout &amp; Dark Mode</t>
        </is>
      </c>
      <c r="C221" s="17" t="inlineStr">
        <is>
          <t>Verify UI theme rendering in Dark Mode for screen #10</t>
        </is>
      </c>
      <c r="D221" s="17" t="inlineStr">
        <is>
          <t>App theme settings active</t>
        </is>
      </c>
      <c r="E221" s="17" t="inlineStr">
        <is>
          <t>1. Set system theme to Dark Mode
2. Open screen #10
3. Verify contrast, font size, and element spacing</t>
        </is>
      </c>
      <c r="F221" s="17" t="inlineStr">
        <is>
          <t>Theme=Dark Mode, Screen_Index=10</t>
        </is>
      </c>
      <c r="G221" s="17" t="inlineStr">
        <is>
          <t>UI layout renders cleanly in Dark Mode without text overlap or unreadable low contrast elements.</t>
        </is>
      </c>
      <c r="H221" s="16" t="inlineStr">
        <is>
          <t>Automated (Appium)</t>
        </is>
      </c>
      <c r="I221" s="16" t="inlineStr">
        <is>
          <t>P2</t>
        </is>
      </c>
      <c r="J221" s="16" t="inlineStr">
        <is>
          <t>Medium</t>
        </is>
      </c>
      <c r="K221" s="15" t="inlineStr">
        <is>
          <t>PASSED</t>
        </is>
      </c>
    </row>
    <row r="222" ht="20" customHeight="1">
      <c r="A222" s="13" t="inlineStr">
        <is>
          <t>TC_APP_221</t>
        </is>
      </c>
      <c r="B222" s="14" t="inlineStr">
        <is>
          <t>Mobile UI Layout &amp; Dark Mode</t>
        </is>
      </c>
      <c r="C222" s="14" t="inlineStr">
        <is>
          <t>Verify UI theme rendering in Light Mode for screen #11</t>
        </is>
      </c>
      <c r="D222" s="14" t="inlineStr">
        <is>
          <t>App theme settings active</t>
        </is>
      </c>
      <c r="E222" s="14" t="inlineStr">
        <is>
          <t>1. Set system theme to Light Mode
2. Open screen #11
3. Verify contrast, font size, and element spacing</t>
        </is>
      </c>
      <c r="F222" s="14" t="inlineStr">
        <is>
          <t>Theme=Light Mode, Screen_Index=11</t>
        </is>
      </c>
      <c r="G222" s="14" t="inlineStr">
        <is>
          <t>UI layout renders cleanly in Light Mode without text overlap or unreadable low contrast elements.</t>
        </is>
      </c>
      <c r="H222" s="13" t="inlineStr">
        <is>
          <t>Automated (Appium)</t>
        </is>
      </c>
      <c r="I222" s="13" t="inlineStr">
        <is>
          <t>P2</t>
        </is>
      </c>
      <c r="J222" s="13" t="inlineStr">
        <is>
          <t>Medium</t>
        </is>
      </c>
      <c r="K222" s="15" t="inlineStr">
        <is>
          <t>PASSED</t>
        </is>
      </c>
    </row>
    <row r="223" ht="20" customHeight="1">
      <c r="A223" s="16" t="inlineStr">
        <is>
          <t>TC_APP_222</t>
        </is>
      </c>
      <c r="B223" s="17" t="inlineStr">
        <is>
          <t>Mobile UI Layout &amp; Dark Mode</t>
        </is>
      </c>
      <c r="C223" s="17" t="inlineStr">
        <is>
          <t>Verify UI theme rendering in Dark Mode for screen #12</t>
        </is>
      </c>
      <c r="D223" s="17" t="inlineStr">
        <is>
          <t>App theme settings active</t>
        </is>
      </c>
      <c r="E223" s="17" t="inlineStr">
        <is>
          <t>1. Set system theme to Dark Mode
2. Open screen #12
3. Verify contrast, font size, and element spacing</t>
        </is>
      </c>
      <c r="F223" s="17" t="inlineStr">
        <is>
          <t>Theme=Dark Mode, Screen_Index=12</t>
        </is>
      </c>
      <c r="G223" s="17" t="inlineStr">
        <is>
          <t>UI layout renders cleanly in Dark Mode without text overlap or unreadable low contrast elements.</t>
        </is>
      </c>
      <c r="H223" s="16" t="inlineStr">
        <is>
          <t>Automated (Appium)</t>
        </is>
      </c>
      <c r="I223" s="16" t="inlineStr">
        <is>
          <t>P2</t>
        </is>
      </c>
      <c r="J223" s="16" t="inlineStr">
        <is>
          <t>Medium</t>
        </is>
      </c>
      <c r="K223" s="15" t="inlineStr">
        <is>
          <t>PASSED</t>
        </is>
      </c>
    </row>
    <row r="224" ht="20" customHeight="1">
      <c r="A224" s="13" t="inlineStr">
        <is>
          <t>TC_APP_223</t>
        </is>
      </c>
      <c r="B224" s="14" t="inlineStr">
        <is>
          <t>Mobile UI Layout &amp; Dark Mode</t>
        </is>
      </c>
      <c r="C224" s="14" t="inlineStr">
        <is>
          <t>Verify UI theme rendering in Light Mode for screen #13</t>
        </is>
      </c>
      <c r="D224" s="14" t="inlineStr">
        <is>
          <t>App theme settings active</t>
        </is>
      </c>
      <c r="E224" s="14" t="inlineStr">
        <is>
          <t>1. Set system theme to Light Mode
2. Open screen #13
3. Verify contrast, font size, and element spacing</t>
        </is>
      </c>
      <c r="F224" s="14" t="inlineStr">
        <is>
          <t>Theme=Light Mode, Screen_Index=13</t>
        </is>
      </c>
      <c r="G224" s="14" t="inlineStr">
        <is>
          <t>UI layout renders cleanly in Light Mode without text overlap or unreadable low contrast elements.</t>
        </is>
      </c>
      <c r="H224" s="13" t="inlineStr">
        <is>
          <t>Automated (Appium)</t>
        </is>
      </c>
      <c r="I224" s="13" t="inlineStr">
        <is>
          <t>P2</t>
        </is>
      </c>
      <c r="J224" s="13" t="inlineStr">
        <is>
          <t>Medium</t>
        </is>
      </c>
      <c r="K224" s="15" t="inlineStr">
        <is>
          <t>AUTOMATED</t>
        </is>
      </c>
    </row>
    <row r="225" ht="20" customHeight="1">
      <c r="A225" s="16" t="inlineStr">
        <is>
          <t>TC_APP_224</t>
        </is>
      </c>
      <c r="B225" s="17" t="inlineStr">
        <is>
          <t>Mobile UI Layout &amp; Dark Mode</t>
        </is>
      </c>
      <c r="C225" s="17" t="inlineStr">
        <is>
          <t>Verify UI theme rendering in Dark Mode for screen #14</t>
        </is>
      </c>
      <c r="D225" s="17" t="inlineStr">
        <is>
          <t>App theme settings active</t>
        </is>
      </c>
      <c r="E225" s="17" t="inlineStr">
        <is>
          <t>1. Set system theme to Dark Mode
2. Open screen #14
3. Verify contrast, font size, and element spacing</t>
        </is>
      </c>
      <c r="F225" s="17" t="inlineStr">
        <is>
          <t>Theme=Dark Mode, Screen_Index=14</t>
        </is>
      </c>
      <c r="G225" s="17" t="inlineStr">
        <is>
          <t>UI layout renders cleanly in Dark Mode without text overlap or unreadable low contrast elements.</t>
        </is>
      </c>
      <c r="H225" s="16" t="inlineStr">
        <is>
          <t>Automated (Appium)</t>
        </is>
      </c>
      <c r="I225" s="16" t="inlineStr">
        <is>
          <t>P2</t>
        </is>
      </c>
      <c r="J225" s="16" t="inlineStr">
        <is>
          <t>Medium</t>
        </is>
      </c>
      <c r="K225" s="15" t="inlineStr">
        <is>
          <t>AUTOMATED</t>
        </is>
      </c>
    </row>
    <row r="226" ht="20" customHeight="1">
      <c r="A226" s="13" t="inlineStr">
        <is>
          <t>TC_APP_225</t>
        </is>
      </c>
      <c r="B226" s="14" t="inlineStr">
        <is>
          <t>Mobile UI Layout &amp; Dark Mode</t>
        </is>
      </c>
      <c r="C226" s="14" t="inlineStr">
        <is>
          <t>Verify UI theme rendering in Light Mode for screen #15</t>
        </is>
      </c>
      <c r="D226" s="14" t="inlineStr">
        <is>
          <t>App theme settings active</t>
        </is>
      </c>
      <c r="E226" s="14" t="inlineStr">
        <is>
          <t>1. Set system theme to Light Mode
2. Open screen #15
3. Verify contrast, font size, and element spacing</t>
        </is>
      </c>
      <c r="F226" s="14" t="inlineStr">
        <is>
          <t>Theme=Light Mode, Screen_Index=15</t>
        </is>
      </c>
      <c r="G226" s="14" t="inlineStr">
        <is>
          <t>UI layout renders cleanly in Light Mode without text overlap or unreadable low contrast elements.</t>
        </is>
      </c>
      <c r="H226" s="13" t="inlineStr">
        <is>
          <t>Automated (Appium)</t>
        </is>
      </c>
      <c r="I226" s="13" t="inlineStr">
        <is>
          <t>P2</t>
        </is>
      </c>
      <c r="J226" s="13" t="inlineStr">
        <is>
          <t>Medium</t>
        </is>
      </c>
      <c r="K226" s="15" t="inlineStr">
        <is>
          <t>AUTOMATED</t>
        </is>
      </c>
    </row>
    <row r="227" ht="20" customHeight="1">
      <c r="A227" s="16" t="inlineStr">
        <is>
          <t>TC_APP_226</t>
        </is>
      </c>
      <c r="B227" s="17" t="inlineStr">
        <is>
          <t>Mobile UI Layout &amp; Dark Mode</t>
        </is>
      </c>
      <c r="C227" s="17" t="inlineStr">
        <is>
          <t>Verify UI theme rendering in Dark Mode for screen #16</t>
        </is>
      </c>
      <c r="D227" s="17" t="inlineStr">
        <is>
          <t>App theme settings active</t>
        </is>
      </c>
      <c r="E227" s="17" t="inlineStr">
        <is>
          <t>1. Set system theme to Dark Mode
2. Open screen #16
3. Verify contrast, font size, and element spacing</t>
        </is>
      </c>
      <c r="F227" s="17" t="inlineStr">
        <is>
          <t>Theme=Dark Mode, Screen_Index=16</t>
        </is>
      </c>
      <c r="G227" s="17" t="inlineStr">
        <is>
          <t>UI layout renders cleanly in Dark Mode without text overlap or unreadable low contrast elements.</t>
        </is>
      </c>
      <c r="H227" s="16" t="inlineStr">
        <is>
          <t>Manual</t>
        </is>
      </c>
      <c r="I227" s="16" t="inlineStr">
        <is>
          <t>P2</t>
        </is>
      </c>
      <c r="J227" s="16" t="inlineStr">
        <is>
          <t>Medium</t>
        </is>
      </c>
      <c r="K227" s="15" t="inlineStr">
        <is>
          <t>AUTOMATED</t>
        </is>
      </c>
    </row>
    <row r="228" ht="20" customHeight="1">
      <c r="A228" s="13" t="inlineStr">
        <is>
          <t>TC_APP_227</t>
        </is>
      </c>
      <c r="B228" s="14" t="inlineStr">
        <is>
          <t>Mobile UI Layout &amp; Dark Mode</t>
        </is>
      </c>
      <c r="C228" s="14" t="inlineStr">
        <is>
          <t>Verify UI theme rendering in Light Mode for screen #17</t>
        </is>
      </c>
      <c r="D228" s="14" t="inlineStr">
        <is>
          <t>App theme settings active</t>
        </is>
      </c>
      <c r="E228" s="14" t="inlineStr">
        <is>
          <t>1. Set system theme to Light Mode
2. Open screen #17
3. Verify contrast, font size, and element spacing</t>
        </is>
      </c>
      <c r="F228" s="14" t="inlineStr">
        <is>
          <t>Theme=Light Mode, Screen_Index=17</t>
        </is>
      </c>
      <c r="G228" s="14" t="inlineStr">
        <is>
          <t>UI layout renders cleanly in Light Mode without text overlap or unreadable low contrast elements.</t>
        </is>
      </c>
      <c r="H228" s="13" t="inlineStr">
        <is>
          <t>Manual</t>
        </is>
      </c>
      <c r="I228" s="13" t="inlineStr">
        <is>
          <t>P2</t>
        </is>
      </c>
      <c r="J228" s="13" t="inlineStr">
        <is>
          <t>Medium</t>
        </is>
      </c>
      <c r="K228" s="15" t="inlineStr">
        <is>
          <t>AUTOMATED</t>
        </is>
      </c>
    </row>
    <row r="229" ht="20" customHeight="1">
      <c r="A229" s="16" t="inlineStr">
        <is>
          <t>TC_APP_228</t>
        </is>
      </c>
      <c r="B229" s="17" t="inlineStr">
        <is>
          <t>Mobile UI Layout &amp; Dark Mode</t>
        </is>
      </c>
      <c r="C229" s="17" t="inlineStr">
        <is>
          <t>Verify UI theme rendering in Dark Mode for screen #18</t>
        </is>
      </c>
      <c r="D229" s="17" t="inlineStr">
        <is>
          <t>App theme settings active</t>
        </is>
      </c>
      <c r="E229" s="17" t="inlineStr">
        <is>
          <t>1. Set system theme to Dark Mode
2. Open screen #18
3. Verify contrast, font size, and element spacing</t>
        </is>
      </c>
      <c r="F229" s="17" t="inlineStr">
        <is>
          <t>Theme=Dark Mode, Screen_Index=18</t>
        </is>
      </c>
      <c r="G229" s="17" t="inlineStr">
        <is>
          <t>UI layout renders cleanly in Dark Mode without text overlap or unreadable low contrast elements.</t>
        </is>
      </c>
      <c r="H229" s="16" t="inlineStr">
        <is>
          <t>Manual</t>
        </is>
      </c>
      <c r="I229" s="16" t="inlineStr">
        <is>
          <t>P2</t>
        </is>
      </c>
      <c r="J229" s="16" t="inlineStr">
        <is>
          <t>Medium</t>
        </is>
      </c>
      <c r="K229" s="15" t="inlineStr">
        <is>
          <t>AUTOMATED</t>
        </is>
      </c>
    </row>
    <row r="230" ht="20" customHeight="1">
      <c r="A230" s="13" t="inlineStr">
        <is>
          <t>TC_APP_229</t>
        </is>
      </c>
      <c r="B230" s="14" t="inlineStr">
        <is>
          <t>Mobile UI Layout &amp; Dark Mode</t>
        </is>
      </c>
      <c r="C230" s="14" t="inlineStr">
        <is>
          <t>Verify UI theme rendering in Light Mode for screen #19</t>
        </is>
      </c>
      <c r="D230" s="14" t="inlineStr">
        <is>
          <t>App theme settings active</t>
        </is>
      </c>
      <c r="E230" s="14" t="inlineStr">
        <is>
          <t>1. Set system theme to Light Mode
2. Open screen #19
3. Verify contrast, font size, and element spacing</t>
        </is>
      </c>
      <c r="F230" s="14" t="inlineStr">
        <is>
          <t>Theme=Light Mode, Screen_Index=19</t>
        </is>
      </c>
      <c r="G230" s="14" t="inlineStr">
        <is>
          <t>UI layout renders cleanly in Light Mode without text overlap or unreadable low contrast elements.</t>
        </is>
      </c>
      <c r="H230" s="13" t="inlineStr">
        <is>
          <t>Manual</t>
        </is>
      </c>
      <c r="I230" s="13" t="inlineStr">
        <is>
          <t>P2</t>
        </is>
      </c>
      <c r="J230" s="13" t="inlineStr">
        <is>
          <t>Medium</t>
        </is>
      </c>
      <c r="K230" s="15" t="inlineStr">
        <is>
          <t>AUTOMATED</t>
        </is>
      </c>
    </row>
    <row r="231" ht="20" customHeight="1">
      <c r="A231" s="16" t="inlineStr">
        <is>
          <t>TC_APP_230</t>
        </is>
      </c>
      <c r="B231" s="17" t="inlineStr">
        <is>
          <t>Mobile UI Layout &amp; Dark Mode</t>
        </is>
      </c>
      <c r="C231" s="17" t="inlineStr">
        <is>
          <t>Verify UI theme rendering in Dark Mode for screen #20</t>
        </is>
      </c>
      <c r="D231" s="17" t="inlineStr">
        <is>
          <t>App theme settings active</t>
        </is>
      </c>
      <c r="E231" s="17" t="inlineStr">
        <is>
          <t>1. Set system theme to Dark Mode
2. Open screen #20
3. Verify contrast, font size, and element spacing</t>
        </is>
      </c>
      <c r="F231" s="17" t="inlineStr">
        <is>
          <t>Theme=Dark Mode, Screen_Index=20</t>
        </is>
      </c>
      <c r="G231" s="17" t="inlineStr">
        <is>
          <t>UI layout renders cleanly in Dark Mode without text overlap or unreadable low contrast elements.</t>
        </is>
      </c>
      <c r="H231" s="16" t="inlineStr">
        <is>
          <t>Manual</t>
        </is>
      </c>
      <c r="I231" s="16" t="inlineStr">
        <is>
          <t>P2</t>
        </is>
      </c>
      <c r="J231" s="16" t="inlineStr">
        <is>
          <t>Medium</t>
        </is>
      </c>
      <c r="K231" s="15" t="inlineStr">
        <is>
          <t>AUTOMATED</t>
        </is>
      </c>
    </row>
    <row r="232" ht="20" customHeight="1">
      <c r="A232" s="13" t="inlineStr">
        <is>
          <t>TC_APP_231</t>
        </is>
      </c>
      <c r="B232" s="14" t="inlineStr">
        <is>
          <t>Mobile UI Layout &amp; Dark Mode</t>
        </is>
      </c>
      <c r="C232" s="14" t="inlineStr">
        <is>
          <t>Verify UI theme rendering in Light Mode for screen #21</t>
        </is>
      </c>
      <c r="D232" s="14" t="inlineStr">
        <is>
          <t>App theme settings active</t>
        </is>
      </c>
      <c r="E232" s="14" t="inlineStr">
        <is>
          <t>1. Set system theme to Light Mode
2. Open screen #21
3. Verify contrast, font size, and element spacing</t>
        </is>
      </c>
      <c r="F232" s="14" t="inlineStr">
        <is>
          <t>Theme=Light Mode, Screen_Index=21</t>
        </is>
      </c>
      <c r="G232" s="14" t="inlineStr">
        <is>
          <t>UI layout renders cleanly in Light Mode without text overlap or unreadable low contrast elements.</t>
        </is>
      </c>
      <c r="H232" s="13" t="inlineStr">
        <is>
          <t>Manual</t>
        </is>
      </c>
      <c r="I232" s="13" t="inlineStr">
        <is>
          <t>P2</t>
        </is>
      </c>
      <c r="J232" s="13" t="inlineStr">
        <is>
          <t>Medium</t>
        </is>
      </c>
      <c r="K232" s="15" t="inlineStr">
        <is>
          <t>AUTOMATED</t>
        </is>
      </c>
    </row>
    <row r="233" ht="20" customHeight="1">
      <c r="A233" s="16" t="inlineStr">
        <is>
          <t>TC_APP_232</t>
        </is>
      </c>
      <c r="B233" s="17" t="inlineStr">
        <is>
          <t>Mobile UI Layout &amp; Dark Mode</t>
        </is>
      </c>
      <c r="C233" s="17" t="inlineStr">
        <is>
          <t>Verify UI theme rendering in Dark Mode for screen #22</t>
        </is>
      </c>
      <c r="D233" s="17" t="inlineStr">
        <is>
          <t>App theme settings active</t>
        </is>
      </c>
      <c r="E233" s="17" t="inlineStr">
        <is>
          <t>1. Set system theme to Dark Mode
2. Open screen #22
3. Verify contrast, font size, and element spacing</t>
        </is>
      </c>
      <c r="F233" s="17" t="inlineStr">
        <is>
          <t>Theme=Dark Mode, Screen_Index=22</t>
        </is>
      </c>
      <c r="G233" s="17" t="inlineStr">
        <is>
          <t>UI layout renders cleanly in Dark Mode without text overlap or unreadable low contrast elements.</t>
        </is>
      </c>
      <c r="H233" s="16" t="inlineStr">
        <is>
          <t>Manual</t>
        </is>
      </c>
      <c r="I233" s="16" t="inlineStr">
        <is>
          <t>P2</t>
        </is>
      </c>
      <c r="J233" s="16" t="inlineStr">
        <is>
          <t>Medium</t>
        </is>
      </c>
      <c r="K233" s="15" t="inlineStr">
        <is>
          <t>AUTOMATED</t>
        </is>
      </c>
    </row>
    <row r="234" ht="20" customHeight="1">
      <c r="A234" s="13" t="inlineStr">
        <is>
          <t>TC_APP_233</t>
        </is>
      </c>
      <c r="B234" s="14" t="inlineStr">
        <is>
          <t>Mobile UI Layout &amp; Dark Mode</t>
        </is>
      </c>
      <c r="C234" s="14" t="inlineStr">
        <is>
          <t>Verify UI theme rendering in Light Mode for screen #23</t>
        </is>
      </c>
      <c r="D234" s="14" t="inlineStr">
        <is>
          <t>App theme settings active</t>
        </is>
      </c>
      <c r="E234" s="14" t="inlineStr">
        <is>
          <t>1. Set system theme to Light Mode
2. Open screen #23
3. Verify contrast, font size, and element spacing</t>
        </is>
      </c>
      <c r="F234" s="14" t="inlineStr">
        <is>
          <t>Theme=Light Mode, Screen_Index=23</t>
        </is>
      </c>
      <c r="G234" s="14" t="inlineStr">
        <is>
          <t>UI layout renders cleanly in Light Mode without text overlap or unreadable low contrast elements.</t>
        </is>
      </c>
      <c r="H234" s="13" t="inlineStr">
        <is>
          <t>Manual</t>
        </is>
      </c>
      <c r="I234" s="13" t="inlineStr">
        <is>
          <t>P2</t>
        </is>
      </c>
      <c r="J234" s="13" t="inlineStr">
        <is>
          <t>Medium</t>
        </is>
      </c>
      <c r="K234" s="15" t="inlineStr">
        <is>
          <t>AUTOMATED</t>
        </is>
      </c>
    </row>
    <row r="235" ht="20" customHeight="1">
      <c r="A235" s="16" t="inlineStr">
        <is>
          <t>TC_APP_234</t>
        </is>
      </c>
      <c r="B235" s="17" t="inlineStr">
        <is>
          <t>Mobile UI Layout &amp; Dark Mode</t>
        </is>
      </c>
      <c r="C235" s="17" t="inlineStr">
        <is>
          <t>Verify UI theme rendering in Dark Mode for screen #24</t>
        </is>
      </c>
      <c r="D235" s="17" t="inlineStr">
        <is>
          <t>App theme settings active</t>
        </is>
      </c>
      <c r="E235" s="17" t="inlineStr">
        <is>
          <t>1. Set system theme to Dark Mode
2. Open screen #24
3. Verify contrast, font size, and element spacing</t>
        </is>
      </c>
      <c r="F235" s="17" t="inlineStr">
        <is>
          <t>Theme=Dark Mode, Screen_Index=24</t>
        </is>
      </c>
      <c r="G235" s="17" t="inlineStr">
        <is>
          <t>UI layout renders cleanly in Dark Mode without text overlap or unreadable low contrast elements.</t>
        </is>
      </c>
      <c r="H235" s="16" t="inlineStr">
        <is>
          <t>Manual</t>
        </is>
      </c>
      <c r="I235" s="16" t="inlineStr">
        <is>
          <t>P2</t>
        </is>
      </c>
      <c r="J235" s="16" t="inlineStr">
        <is>
          <t>Medium</t>
        </is>
      </c>
      <c r="K235" s="15" t="inlineStr">
        <is>
          <t>AUTOMATED</t>
        </is>
      </c>
    </row>
    <row r="236" ht="20" customHeight="1">
      <c r="A236" s="13" t="inlineStr">
        <is>
          <t>TC_APP_235</t>
        </is>
      </c>
      <c r="B236" s="14" t="inlineStr">
        <is>
          <t>Mobile UI Layout &amp; Dark Mode</t>
        </is>
      </c>
      <c r="C236" s="14" t="inlineStr">
        <is>
          <t>Verify UI theme rendering in Light Mode for screen #25</t>
        </is>
      </c>
      <c r="D236" s="14" t="inlineStr">
        <is>
          <t>App theme settings active</t>
        </is>
      </c>
      <c r="E236" s="14" t="inlineStr">
        <is>
          <t>1. Set system theme to Light Mode
2. Open screen #25
3. Verify contrast, font size, and element spacing</t>
        </is>
      </c>
      <c r="F236" s="14" t="inlineStr">
        <is>
          <t>Theme=Light Mode, Screen_Index=25</t>
        </is>
      </c>
      <c r="G236" s="14" t="inlineStr">
        <is>
          <t>UI layout renders cleanly in Light Mode without text overlap or unreadable low contrast elements.</t>
        </is>
      </c>
      <c r="H236" s="13" t="inlineStr">
        <is>
          <t>Manual</t>
        </is>
      </c>
      <c r="I236" s="13" t="inlineStr">
        <is>
          <t>P2</t>
        </is>
      </c>
      <c r="J236" s="13" t="inlineStr">
        <is>
          <t>Medium</t>
        </is>
      </c>
      <c r="K236" s="15" t="inlineStr">
        <is>
          <t>AUTOMATED</t>
        </is>
      </c>
    </row>
    <row r="237" ht="20" customHeight="1">
      <c r="A237" s="16" t="inlineStr">
        <is>
          <t>TC_APP_236</t>
        </is>
      </c>
      <c r="B237" s="17" t="inlineStr">
        <is>
          <t>Battery Optimization &amp; App Lifecycle</t>
        </is>
      </c>
      <c r="C237" s="17" t="inlineStr">
        <is>
          <t>Verify app lifecycle backgrounding for 2s and foreground restoration</t>
        </is>
      </c>
      <c r="D237" s="17" t="inlineStr">
        <is>
          <t>App running in foreground</t>
        </is>
      </c>
      <c r="E237" s="17" t="inlineStr">
        <is>
          <t>1. Execute driver.background(2)
2. Re-activate app after 2 seconds
3. Verify state retention and re-auth requirements</t>
        </is>
      </c>
      <c r="F237" s="17" t="inlineStr">
        <is>
          <t>Background_Duration=2s</t>
        </is>
      </c>
      <c r="G237" s="17" t="inlineStr">
        <is>
          <t>App preserves operator state or prompts passcode re-entry based on background timer setting.</t>
        </is>
      </c>
      <c r="H237" s="16" t="inlineStr">
        <is>
          <t>Automated (Appium)</t>
        </is>
      </c>
      <c r="I237" s="16" t="inlineStr">
        <is>
          <t>P2</t>
        </is>
      </c>
      <c r="J237" s="16" t="inlineStr">
        <is>
          <t>Medium</t>
        </is>
      </c>
      <c r="K237" s="15" t="inlineStr">
        <is>
          <t>AUTOMATED</t>
        </is>
      </c>
    </row>
    <row r="238" ht="20" customHeight="1">
      <c r="A238" s="13" t="inlineStr">
        <is>
          <t>TC_APP_237</t>
        </is>
      </c>
      <c r="B238" s="14" t="inlineStr">
        <is>
          <t>Battery Optimization &amp; App Lifecycle</t>
        </is>
      </c>
      <c r="C238" s="14" t="inlineStr">
        <is>
          <t>Verify app lifecycle backgrounding for 4s and foreground restoration</t>
        </is>
      </c>
      <c r="D238" s="14" t="inlineStr">
        <is>
          <t>App running in foreground</t>
        </is>
      </c>
      <c r="E238" s="14" t="inlineStr">
        <is>
          <t>1. Execute driver.background(4)
2. Re-activate app after 4 seconds
3. Verify state retention and re-auth requirements</t>
        </is>
      </c>
      <c r="F238" s="14" t="inlineStr">
        <is>
          <t>Background_Duration=4s</t>
        </is>
      </c>
      <c r="G238" s="14" t="inlineStr">
        <is>
          <t>App preserves operator state or prompts passcode re-entry based on background timer setting.</t>
        </is>
      </c>
      <c r="H238" s="13" t="inlineStr">
        <is>
          <t>Automated (Appium)</t>
        </is>
      </c>
      <c r="I238" s="13" t="inlineStr">
        <is>
          <t>P2</t>
        </is>
      </c>
      <c r="J238" s="13" t="inlineStr">
        <is>
          <t>Medium</t>
        </is>
      </c>
      <c r="K238" s="15" t="inlineStr">
        <is>
          <t>AUTOMATED</t>
        </is>
      </c>
    </row>
    <row r="239" ht="20" customHeight="1">
      <c r="A239" s="16" t="inlineStr">
        <is>
          <t>TC_APP_238</t>
        </is>
      </c>
      <c r="B239" s="17" t="inlineStr">
        <is>
          <t>Battery Optimization &amp; App Lifecycle</t>
        </is>
      </c>
      <c r="C239" s="17" t="inlineStr">
        <is>
          <t>Verify app lifecycle backgrounding for 6s and foreground restoration</t>
        </is>
      </c>
      <c r="D239" s="17" t="inlineStr">
        <is>
          <t>App running in foreground</t>
        </is>
      </c>
      <c r="E239" s="17" t="inlineStr">
        <is>
          <t>1. Execute driver.background(6)
2. Re-activate app after 6 seconds
3. Verify state retention and re-auth requirements</t>
        </is>
      </c>
      <c r="F239" s="17" t="inlineStr">
        <is>
          <t>Background_Duration=6s</t>
        </is>
      </c>
      <c r="G239" s="17" t="inlineStr">
        <is>
          <t>App preserves operator state or prompts passcode re-entry based on background timer setting.</t>
        </is>
      </c>
      <c r="H239" s="16" t="inlineStr">
        <is>
          <t>Automated (Appium)</t>
        </is>
      </c>
      <c r="I239" s="16" t="inlineStr">
        <is>
          <t>P2</t>
        </is>
      </c>
      <c r="J239" s="16" t="inlineStr">
        <is>
          <t>Medium</t>
        </is>
      </c>
      <c r="K239" s="15" t="inlineStr">
        <is>
          <t>AUTOMATED</t>
        </is>
      </c>
    </row>
    <row r="240" ht="20" customHeight="1">
      <c r="A240" s="13" t="inlineStr">
        <is>
          <t>TC_APP_239</t>
        </is>
      </c>
      <c r="B240" s="14" t="inlineStr">
        <is>
          <t>Battery Optimization &amp; App Lifecycle</t>
        </is>
      </c>
      <c r="C240" s="14" t="inlineStr">
        <is>
          <t>Verify app lifecycle backgrounding for 8s and foreground restoration</t>
        </is>
      </c>
      <c r="D240" s="14" t="inlineStr">
        <is>
          <t>App running in foreground</t>
        </is>
      </c>
      <c r="E240" s="14" t="inlineStr">
        <is>
          <t>1. Execute driver.background(8)
2. Re-activate app after 8 seconds
3. Verify state retention and re-auth requirements</t>
        </is>
      </c>
      <c r="F240" s="14" t="inlineStr">
        <is>
          <t>Background_Duration=8s</t>
        </is>
      </c>
      <c r="G240" s="14" t="inlineStr">
        <is>
          <t>App preserves operator state or prompts passcode re-entry based on background timer setting.</t>
        </is>
      </c>
      <c r="H240" s="13" t="inlineStr">
        <is>
          <t>Automated (Appium)</t>
        </is>
      </c>
      <c r="I240" s="13" t="inlineStr">
        <is>
          <t>P2</t>
        </is>
      </c>
      <c r="J240" s="13" t="inlineStr">
        <is>
          <t>Medium</t>
        </is>
      </c>
      <c r="K240" s="15" t="inlineStr">
        <is>
          <t>AUTOMATED</t>
        </is>
      </c>
    </row>
    <row r="241" ht="20" customHeight="1">
      <c r="A241" s="16" t="inlineStr">
        <is>
          <t>TC_APP_240</t>
        </is>
      </c>
      <c r="B241" s="17" t="inlineStr">
        <is>
          <t>Battery Optimization &amp; App Lifecycle</t>
        </is>
      </c>
      <c r="C241" s="17" t="inlineStr">
        <is>
          <t>Verify app lifecycle backgrounding for 10s and foreground restoration</t>
        </is>
      </c>
      <c r="D241" s="17" t="inlineStr">
        <is>
          <t>App running in foreground</t>
        </is>
      </c>
      <c r="E241" s="17" t="inlineStr">
        <is>
          <t>1. Execute driver.background(10)
2. Re-activate app after 10 seconds
3. Verify state retention and re-auth requirements</t>
        </is>
      </c>
      <c r="F241" s="17" t="inlineStr">
        <is>
          <t>Background_Duration=10s</t>
        </is>
      </c>
      <c r="G241" s="17" t="inlineStr">
        <is>
          <t>App preserves operator state or prompts passcode re-entry based on background timer setting.</t>
        </is>
      </c>
      <c r="H241" s="16" t="inlineStr">
        <is>
          <t>Automated (Appium)</t>
        </is>
      </c>
      <c r="I241" s="16" t="inlineStr">
        <is>
          <t>P2</t>
        </is>
      </c>
      <c r="J241" s="16" t="inlineStr">
        <is>
          <t>Medium</t>
        </is>
      </c>
      <c r="K241" s="15" t="inlineStr">
        <is>
          <t>AUTOMATED</t>
        </is>
      </c>
    </row>
    <row r="242" ht="20" customHeight="1">
      <c r="A242" s="13" t="inlineStr">
        <is>
          <t>TC_APP_241</t>
        </is>
      </c>
      <c r="B242" s="14" t="inlineStr">
        <is>
          <t>Battery Optimization &amp; App Lifecycle</t>
        </is>
      </c>
      <c r="C242" s="14" t="inlineStr">
        <is>
          <t>Verify app lifecycle backgrounding for 12s and foreground restoration</t>
        </is>
      </c>
      <c r="D242" s="14" t="inlineStr">
        <is>
          <t>App running in foreground</t>
        </is>
      </c>
      <c r="E242" s="14" t="inlineStr">
        <is>
          <t>1. Execute driver.background(12)
2. Re-activate app after 12 seconds
3. Verify state retention and re-auth requirements</t>
        </is>
      </c>
      <c r="F242" s="14" t="inlineStr">
        <is>
          <t>Background_Duration=12s</t>
        </is>
      </c>
      <c r="G242" s="14" t="inlineStr">
        <is>
          <t>App preserves operator state or prompts passcode re-entry based on background timer setting.</t>
        </is>
      </c>
      <c r="H242" s="13" t="inlineStr">
        <is>
          <t>Automated (Appium)</t>
        </is>
      </c>
      <c r="I242" s="13" t="inlineStr">
        <is>
          <t>P2</t>
        </is>
      </c>
      <c r="J242" s="13" t="inlineStr">
        <is>
          <t>Medium</t>
        </is>
      </c>
      <c r="K242" s="15" t="inlineStr">
        <is>
          <t>AUTOMATED</t>
        </is>
      </c>
    </row>
    <row r="243" ht="20" customHeight="1">
      <c r="A243" s="16" t="inlineStr">
        <is>
          <t>TC_APP_242</t>
        </is>
      </c>
      <c r="B243" s="17" t="inlineStr">
        <is>
          <t>Battery Optimization &amp; App Lifecycle</t>
        </is>
      </c>
      <c r="C243" s="17" t="inlineStr">
        <is>
          <t>Verify app lifecycle backgrounding for 14s and foreground restoration</t>
        </is>
      </c>
      <c r="D243" s="17" t="inlineStr">
        <is>
          <t>App running in foreground</t>
        </is>
      </c>
      <c r="E243" s="17" t="inlineStr">
        <is>
          <t>1. Execute driver.background(14)
2. Re-activate app after 14 seconds
3. Verify state retention and re-auth requirements</t>
        </is>
      </c>
      <c r="F243" s="17" t="inlineStr">
        <is>
          <t>Background_Duration=14s</t>
        </is>
      </c>
      <c r="G243" s="17" t="inlineStr">
        <is>
          <t>App preserves operator state or prompts passcode re-entry based on background timer setting.</t>
        </is>
      </c>
      <c r="H243" s="16" t="inlineStr">
        <is>
          <t>Automated (Appium)</t>
        </is>
      </c>
      <c r="I243" s="16" t="inlineStr">
        <is>
          <t>P2</t>
        </is>
      </c>
      <c r="J243" s="16" t="inlineStr">
        <is>
          <t>Medium</t>
        </is>
      </c>
      <c r="K243" s="15" t="inlineStr">
        <is>
          <t>AUTOMATED</t>
        </is>
      </c>
    </row>
    <row r="244" ht="20" customHeight="1">
      <c r="A244" s="13" t="inlineStr">
        <is>
          <t>TC_APP_243</t>
        </is>
      </c>
      <c r="B244" s="14" t="inlineStr">
        <is>
          <t>Battery Optimization &amp; App Lifecycle</t>
        </is>
      </c>
      <c r="C244" s="14" t="inlineStr">
        <is>
          <t>Verify app lifecycle backgrounding for 16s and foreground restoration</t>
        </is>
      </c>
      <c r="D244" s="14" t="inlineStr">
        <is>
          <t>App running in foreground</t>
        </is>
      </c>
      <c r="E244" s="14" t="inlineStr">
        <is>
          <t>1. Execute driver.background(16)
2. Re-activate app after 16 seconds
3. Verify state retention and re-auth requirements</t>
        </is>
      </c>
      <c r="F244" s="14" t="inlineStr">
        <is>
          <t>Background_Duration=16s</t>
        </is>
      </c>
      <c r="G244" s="14" t="inlineStr">
        <is>
          <t>App preserves operator state or prompts passcode re-entry based on background timer setting.</t>
        </is>
      </c>
      <c r="H244" s="13" t="inlineStr">
        <is>
          <t>Automated (Appium)</t>
        </is>
      </c>
      <c r="I244" s="13" t="inlineStr">
        <is>
          <t>P2</t>
        </is>
      </c>
      <c r="J244" s="13" t="inlineStr">
        <is>
          <t>Medium</t>
        </is>
      </c>
      <c r="K244" s="15" t="inlineStr">
        <is>
          <t>AUTOMATED</t>
        </is>
      </c>
    </row>
    <row r="245" ht="20" customHeight="1">
      <c r="A245" s="16" t="inlineStr">
        <is>
          <t>TC_APP_244</t>
        </is>
      </c>
      <c r="B245" s="17" t="inlineStr">
        <is>
          <t>Battery Optimization &amp; App Lifecycle</t>
        </is>
      </c>
      <c r="C245" s="17" t="inlineStr">
        <is>
          <t>Verify app lifecycle backgrounding for 18s and foreground restoration</t>
        </is>
      </c>
      <c r="D245" s="17" t="inlineStr">
        <is>
          <t>App running in foreground</t>
        </is>
      </c>
      <c r="E245" s="17" t="inlineStr">
        <is>
          <t>1. Execute driver.background(18)
2. Re-activate app after 18 seconds
3. Verify state retention and re-auth requirements</t>
        </is>
      </c>
      <c r="F245" s="17" t="inlineStr">
        <is>
          <t>Background_Duration=18s</t>
        </is>
      </c>
      <c r="G245" s="17" t="inlineStr">
        <is>
          <t>App preserves operator state or prompts passcode re-entry based on background timer setting.</t>
        </is>
      </c>
      <c r="H245" s="16" t="inlineStr">
        <is>
          <t>Automated (Appium)</t>
        </is>
      </c>
      <c r="I245" s="16" t="inlineStr">
        <is>
          <t>P2</t>
        </is>
      </c>
      <c r="J245" s="16" t="inlineStr">
        <is>
          <t>Medium</t>
        </is>
      </c>
      <c r="K245" s="15" t="inlineStr">
        <is>
          <t>AUTOMATED</t>
        </is>
      </c>
    </row>
    <row r="246" ht="20" customHeight="1">
      <c r="A246" s="13" t="inlineStr">
        <is>
          <t>TC_APP_245</t>
        </is>
      </c>
      <c r="B246" s="14" t="inlineStr">
        <is>
          <t>Battery Optimization &amp; App Lifecycle</t>
        </is>
      </c>
      <c r="C246" s="14" t="inlineStr">
        <is>
          <t>Verify app lifecycle backgrounding for 20s and foreground restoration</t>
        </is>
      </c>
      <c r="D246" s="14" t="inlineStr">
        <is>
          <t>App running in foreground</t>
        </is>
      </c>
      <c r="E246" s="14" t="inlineStr">
        <is>
          <t>1. Execute driver.background(20)
2. Re-activate app after 20 seconds
3. Verify state retention and re-auth requirements</t>
        </is>
      </c>
      <c r="F246" s="14" t="inlineStr">
        <is>
          <t>Background_Duration=20s</t>
        </is>
      </c>
      <c r="G246" s="14" t="inlineStr">
        <is>
          <t>App preserves operator state or prompts passcode re-entry based on background timer setting.</t>
        </is>
      </c>
      <c r="H246" s="13" t="inlineStr">
        <is>
          <t>Automated (Appium)</t>
        </is>
      </c>
      <c r="I246" s="13" t="inlineStr">
        <is>
          <t>P2</t>
        </is>
      </c>
      <c r="J246" s="13" t="inlineStr">
        <is>
          <t>Medium</t>
        </is>
      </c>
      <c r="K246" s="15" t="inlineStr">
        <is>
          <t>AUTOMATED</t>
        </is>
      </c>
    </row>
    <row r="247" ht="20" customHeight="1">
      <c r="A247" s="16" t="inlineStr">
        <is>
          <t>TC_APP_246</t>
        </is>
      </c>
      <c r="B247" s="17" t="inlineStr">
        <is>
          <t>Battery Optimization &amp; App Lifecycle</t>
        </is>
      </c>
      <c r="C247" s="17" t="inlineStr">
        <is>
          <t>Verify app lifecycle backgrounding for 22s and foreground restoration</t>
        </is>
      </c>
      <c r="D247" s="17" t="inlineStr">
        <is>
          <t>App running in foreground</t>
        </is>
      </c>
      <c r="E247" s="17" t="inlineStr">
        <is>
          <t>1. Execute driver.background(22)
2. Re-activate app after 22 seconds
3. Verify state retention and re-auth requirements</t>
        </is>
      </c>
      <c r="F247" s="17" t="inlineStr">
        <is>
          <t>Background_Duration=22s</t>
        </is>
      </c>
      <c r="G247" s="17" t="inlineStr">
        <is>
          <t>App preserves operator state or prompts passcode re-entry based on background timer setting.</t>
        </is>
      </c>
      <c r="H247" s="16" t="inlineStr">
        <is>
          <t>Automated (Appium)</t>
        </is>
      </c>
      <c r="I247" s="16" t="inlineStr">
        <is>
          <t>P2</t>
        </is>
      </c>
      <c r="J247" s="16" t="inlineStr">
        <is>
          <t>Medium</t>
        </is>
      </c>
      <c r="K247" s="15" t="inlineStr">
        <is>
          <t>AUTOMATED</t>
        </is>
      </c>
    </row>
    <row r="248" ht="20" customHeight="1">
      <c r="A248" s="13" t="inlineStr">
        <is>
          <t>TC_APP_247</t>
        </is>
      </c>
      <c r="B248" s="14" t="inlineStr">
        <is>
          <t>Battery Optimization &amp; App Lifecycle</t>
        </is>
      </c>
      <c r="C248" s="14" t="inlineStr">
        <is>
          <t>Verify app lifecycle backgrounding for 24s and foreground restoration</t>
        </is>
      </c>
      <c r="D248" s="14" t="inlineStr">
        <is>
          <t>App running in foreground</t>
        </is>
      </c>
      <c r="E248" s="14" t="inlineStr">
        <is>
          <t>1. Execute driver.background(24)
2. Re-activate app after 24 seconds
3. Verify state retention and re-auth requirements</t>
        </is>
      </c>
      <c r="F248" s="14" t="inlineStr">
        <is>
          <t>Background_Duration=24s</t>
        </is>
      </c>
      <c r="G248" s="14" t="inlineStr">
        <is>
          <t>App preserves operator state or prompts passcode re-entry based on background timer setting.</t>
        </is>
      </c>
      <c r="H248" s="13" t="inlineStr">
        <is>
          <t>Automated (Appium)</t>
        </is>
      </c>
      <c r="I248" s="13" t="inlineStr">
        <is>
          <t>P2</t>
        </is>
      </c>
      <c r="J248" s="13" t="inlineStr">
        <is>
          <t>Medium</t>
        </is>
      </c>
      <c r="K248" s="15" t="inlineStr">
        <is>
          <t>AUTOMATED</t>
        </is>
      </c>
    </row>
    <row r="249" ht="20" customHeight="1">
      <c r="A249" s="16" t="inlineStr">
        <is>
          <t>TC_APP_248</t>
        </is>
      </c>
      <c r="B249" s="17" t="inlineStr">
        <is>
          <t>Battery Optimization &amp; App Lifecycle</t>
        </is>
      </c>
      <c r="C249" s="17" t="inlineStr">
        <is>
          <t>Verify app lifecycle backgrounding for 26s and foreground restoration</t>
        </is>
      </c>
      <c r="D249" s="17" t="inlineStr">
        <is>
          <t>App running in foreground</t>
        </is>
      </c>
      <c r="E249" s="17" t="inlineStr">
        <is>
          <t>1. Execute driver.background(26)
2. Re-activate app after 26 seconds
3. Verify state retention and re-auth requirements</t>
        </is>
      </c>
      <c r="F249" s="17" t="inlineStr">
        <is>
          <t>Background_Duration=26s</t>
        </is>
      </c>
      <c r="G249" s="17" t="inlineStr">
        <is>
          <t>App preserves operator state or prompts passcode re-entry based on background timer setting.</t>
        </is>
      </c>
      <c r="H249" s="16" t="inlineStr">
        <is>
          <t>Automated (Appium)</t>
        </is>
      </c>
      <c r="I249" s="16" t="inlineStr">
        <is>
          <t>P2</t>
        </is>
      </c>
      <c r="J249" s="16" t="inlineStr">
        <is>
          <t>Medium</t>
        </is>
      </c>
      <c r="K249" s="15" t="inlineStr">
        <is>
          <t>AUTOMATED</t>
        </is>
      </c>
    </row>
    <row r="250" ht="20" customHeight="1">
      <c r="A250" s="13" t="inlineStr">
        <is>
          <t>TC_APP_249</t>
        </is>
      </c>
      <c r="B250" s="14" t="inlineStr">
        <is>
          <t>Battery Optimization &amp; App Lifecycle</t>
        </is>
      </c>
      <c r="C250" s="14" t="inlineStr">
        <is>
          <t>Verify app lifecycle backgrounding for 28s and foreground restoration</t>
        </is>
      </c>
      <c r="D250" s="14" t="inlineStr">
        <is>
          <t>App running in foreground</t>
        </is>
      </c>
      <c r="E250" s="14" t="inlineStr">
        <is>
          <t>1. Execute driver.background(28)
2. Re-activate app after 28 seconds
3. Verify state retention and re-auth requirements</t>
        </is>
      </c>
      <c r="F250" s="14" t="inlineStr">
        <is>
          <t>Background_Duration=28s</t>
        </is>
      </c>
      <c r="G250" s="14" t="inlineStr">
        <is>
          <t>App preserves operator state or prompts passcode re-entry based on background timer setting.</t>
        </is>
      </c>
      <c r="H250" s="13" t="inlineStr">
        <is>
          <t>Automated (Appium)</t>
        </is>
      </c>
      <c r="I250" s="13" t="inlineStr">
        <is>
          <t>P2</t>
        </is>
      </c>
      <c r="J250" s="13" t="inlineStr">
        <is>
          <t>Medium</t>
        </is>
      </c>
      <c r="K250" s="15" t="inlineStr">
        <is>
          <t>AUTOMATED</t>
        </is>
      </c>
    </row>
    <row r="251" ht="20" customHeight="1">
      <c r="A251" s="16" t="inlineStr">
        <is>
          <t>TC_APP_250</t>
        </is>
      </c>
      <c r="B251" s="17" t="inlineStr">
        <is>
          <t>Battery Optimization &amp; App Lifecycle</t>
        </is>
      </c>
      <c r="C251" s="17" t="inlineStr">
        <is>
          <t>Verify app lifecycle backgrounding for 30s and foreground restoration</t>
        </is>
      </c>
      <c r="D251" s="17" t="inlineStr">
        <is>
          <t>App running in foreground</t>
        </is>
      </c>
      <c r="E251" s="17" t="inlineStr">
        <is>
          <t>1. Execute driver.background(30)
2. Re-activate app after 30 seconds
3. Verify state retention and re-auth requirements</t>
        </is>
      </c>
      <c r="F251" s="17" t="inlineStr">
        <is>
          <t>Background_Duration=30s</t>
        </is>
      </c>
      <c r="G251" s="17" t="inlineStr">
        <is>
          <t>App preserves operator state or prompts passcode re-entry based on background timer setting.</t>
        </is>
      </c>
      <c r="H251" s="16" t="inlineStr">
        <is>
          <t>Automated (Appium)</t>
        </is>
      </c>
      <c r="I251" s="16" t="inlineStr">
        <is>
          <t>P2</t>
        </is>
      </c>
      <c r="J251" s="16" t="inlineStr">
        <is>
          <t>Medium</t>
        </is>
      </c>
      <c r="K251" s="15" t="inlineStr">
        <is>
          <t>AUTOMATED</t>
        </is>
      </c>
    </row>
    <row r="252" ht="20" customHeight="1">
      <c r="A252" s="13" t="inlineStr">
        <is>
          <t>TC_APP_251</t>
        </is>
      </c>
      <c r="B252" s="14" t="inlineStr">
        <is>
          <t>Battery Optimization &amp; App Lifecycle</t>
        </is>
      </c>
      <c r="C252" s="14" t="inlineStr">
        <is>
          <t>Verify app lifecycle backgrounding for 32s and foreground restoration</t>
        </is>
      </c>
      <c r="D252" s="14" t="inlineStr">
        <is>
          <t>App running in foreground</t>
        </is>
      </c>
      <c r="E252" s="14" t="inlineStr">
        <is>
          <t>1. Execute driver.background(32)
2. Re-activate app after 32 seconds
3. Verify state retention and re-auth requirements</t>
        </is>
      </c>
      <c r="F252" s="14" t="inlineStr">
        <is>
          <t>Background_Duration=32s</t>
        </is>
      </c>
      <c r="G252" s="14" t="inlineStr">
        <is>
          <t>App preserves operator state or prompts passcode re-entry based on background timer setting.</t>
        </is>
      </c>
      <c r="H252" s="13" t="inlineStr">
        <is>
          <t>Automated (Appium)</t>
        </is>
      </c>
      <c r="I252" s="13" t="inlineStr">
        <is>
          <t>P2</t>
        </is>
      </c>
      <c r="J252" s="13" t="inlineStr">
        <is>
          <t>Medium</t>
        </is>
      </c>
      <c r="K252" s="15" t="inlineStr">
        <is>
          <t>AUTOMATED</t>
        </is>
      </c>
    </row>
    <row r="253" ht="20" customHeight="1">
      <c r="A253" s="16" t="inlineStr">
        <is>
          <t>TC_APP_252</t>
        </is>
      </c>
      <c r="B253" s="17" t="inlineStr">
        <is>
          <t>Battery Optimization &amp; App Lifecycle</t>
        </is>
      </c>
      <c r="C253" s="17" t="inlineStr">
        <is>
          <t>Verify app lifecycle backgrounding for 34s and foreground restoration</t>
        </is>
      </c>
      <c r="D253" s="17" t="inlineStr">
        <is>
          <t>App running in foreground</t>
        </is>
      </c>
      <c r="E253" s="17" t="inlineStr">
        <is>
          <t>1. Execute driver.background(34)
2. Re-activate app after 34 seconds
3. Verify state retention and re-auth requirements</t>
        </is>
      </c>
      <c r="F253" s="17" t="inlineStr">
        <is>
          <t>Background_Duration=34s</t>
        </is>
      </c>
      <c r="G253" s="17" t="inlineStr">
        <is>
          <t>App preserves operator state or prompts passcode re-entry based on background timer setting.</t>
        </is>
      </c>
      <c r="H253" s="16" t="inlineStr">
        <is>
          <t>Automated (Appium)</t>
        </is>
      </c>
      <c r="I253" s="16" t="inlineStr">
        <is>
          <t>P2</t>
        </is>
      </c>
      <c r="J253" s="16" t="inlineStr">
        <is>
          <t>Medium</t>
        </is>
      </c>
      <c r="K253" s="15" t="inlineStr">
        <is>
          <t>AUTOMATED</t>
        </is>
      </c>
    </row>
    <row r="254" ht="20" customHeight="1">
      <c r="A254" s="13" t="inlineStr">
        <is>
          <t>TC_APP_253</t>
        </is>
      </c>
      <c r="B254" s="14" t="inlineStr">
        <is>
          <t>Battery Optimization &amp; App Lifecycle</t>
        </is>
      </c>
      <c r="C254" s="14" t="inlineStr">
        <is>
          <t>Verify app lifecycle backgrounding for 36s and foreground restoration</t>
        </is>
      </c>
      <c r="D254" s="14" t="inlineStr">
        <is>
          <t>App running in foreground</t>
        </is>
      </c>
      <c r="E254" s="14" t="inlineStr">
        <is>
          <t>1. Execute driver.background(36)
2. Re-activate app after 36 seconds
3. Verify state retention and re-auth requirements</t>
        </is>
      </c>
      <c r="F254" s="14" t="inlineStr">
        <is>
          <t>Background_Duration=36s</t>
        </is>
      </c>
      <c r="G254" s="14" t="inlineStr">
        <is>
          <t>App preserves operator state or prompts passcode re-entry based on background timer setting.</t>
        </is>
      </c>
      <c r="H254" s="13" t="inlineStr">
        <is>
          <t>Automated (Appium)</t>
        </is>
      </c>
      <c r="I254" s="13" t="inlineStr">
        <is>
          <t>P2</t>
        </is>
      </c>
      <c r="J254" s="13" t="inlineStr">
        <is>
          <t>Medium</t>
        </is>
      </c>
      <c r="K254" s="15" t="inlineStr">
        <is>
          <t>AUTOMATED</t>
        </is>
      </c>
    </row>
    <row r="255" ht="20" customHeight="1">
      <c r="A255" s="16" t="inlineStr">
        <is>
          <t>TC_APP_254</t>
        </is>
      </c>
      <c r="B255" s="17" t="inlineStr">
        <is>
          <t>Battery Optimization &amp; App Lifecycle</t>
        </is>
      </c>
      <c r="C255" s="17" t="inlineStr">
        <is>
          <t>Verify app lifecycle backgrounding for 38s and foreground restoration</t>
        </is>
      </c>
      <c r="D255" s="17" t="inlineStr">
        <is>
          <t>App running in foreground</t>
        </is>
      </c>
      <c r="E255" s="17" t="inlineStr">
        <is>
          <t>1. Execute driver.background(38)
2. Re-activate app after 38 seconds
3. Verify state retention and re-auth requirements</t>
        </is>
      </c>
      <c r="F255" s="17" t="inlineStr">
        <is>
          <t>Background_Duration=38s</t>
        </is>
      </c>
      <c r="G255" s="17" t="inlineStr">
        <is>
          <t>App preserves operator state or prompts passcode re-entry based on background timer setting.</t>
        </is>
      </c>
      <c r="H255" s="16" t="inlineStr">
        <is>
          <t>Automated (Appium)</t>
        </is>
      </c>
      <c r="I255" s="16" t="inlineStr">
        <is>
          <t>P2</t>
        </is>
      </c>
      <c r="J255" s="16" t="inlineStr">
        <is>
          <t>Medium</t>
        </is>
      </c>
      <c r="K255" s="15" t="inlineStr">
        <is>
          <t>AUTOMATED</t>
        </is>
      </c>
    </row>
    <row r="256" ht="20" customHeight="1">
      <c r="A256" s="13" t="inlineStr">
        <is>
          <t>TC_APP_255</t>
        </is>
      </c>
      <c r="B256" s="14" t="inlineStr">
        <is>
          <t>Battery Optimization &amp; App Lifecycle</t>
        </is>
      </c>
      <c r="C256" s="14" t="inlineStr">
        <is>
          <t>Verify app lifecycle backgrounding for 40s and foreground restoration</t>
        </is>
      </c>
      <c r="D256" s="14" t="inlineStr">
        <is>
          <t>App running in foreground</t>
        </is>
      </c>
      <c r="E256" s="14" t="inlineStr">
        <is>
          <t>1. Execute driver.background(40)
2. Re-activate app after 40 seconds
3. Verify state retention and re-auth requirements</t>
        </is>
      </c>
      <c r="F256" s="14" t="inlineStr">
        <is>
          <t>Background_Duration=40s</t>
        </is>
      </c>
      <c r="G256" s="14" t="inlineStr">
        <is>
          <t>App preserves operator state or prompts passcode re-entry based on background timer setting.</t>
        </is>
      </c>
      <c r="H256" s="13" t="inlineStr">
        <is>
          <t>Automated (Appium)</t>
        </is>
      </c>
      <c r="I256" s="13" t="inlineStr">
        <is>
          <t>P2</t>
        </is>
      </c>
      <c r="J256" s="13" t="inlineStr">
        <is>
          <t>Medium</t>
        </is>
      </c>
      <c r="K256" s="15" t="inlineStr">
        <is>
          <t>AUTOMATED</t>
        </is>
      </c>
    </row>
    <row r="257" ht="20" customHeight="1">
      <c r="A257" s="16" t="inlineStr">
        <is>
          <t>TC_APP_256</t>
        </is>
      </c>
      <c r="B257" s="17" t="inlineStr">
        <is>
          <t>Battery Optimization &amp; App Lifecycle</t>
        </is>
      </c>
      <c r="C257" s="17" t="inlineStr">
        <is>
          <t>Verify app lifecycle backgrounding for 42s and foreground restoration</t>
        </is>
      </c>
      <c r="D257" s="17" t="inlineStr">
        <is>
          <t>App running in foreground</t>
        </is>
      </c>
      <c r="E257" s="17" t="inlineStr">
        <is>
          <t>1. Execute driver.background(42)
2. Re-activate app after 42 seconds
3. Verify state retention and re-auth requirements</t>
        </is>
      </c>
      <c r="F257" s="17" t="inlineStr">
        <is>
          <t>Background_Duration=42s</t>
        </is>
      </c>
      <c r="G257" s="17" t="inlineStr">
        <is>
          <t>App preserves operator state or prompts passcode re-entry based on background timer setting.</t>
        </is>
      </c>
      <c r="H257" s="16" t="inlineStr">
        <is>
          <t>Automated (Appium)</t>
        </is>
      </c>
      <c r="I257" s="16" t="inlineStr">
        <is>
          <t>P2</t>
        </is>
      </c>
      <c r="J257" s="16" t="inlineStr">
        <is>
          <t>Medium</t>
        </is>
      </c>
      <c r="K257" s="15" t="inlineStr">
        <is>
          <t>AUTOMATED</t>
        </is>
      </c>
    </row>
    <row r="258" ht="20" customHeight="1">
      <c r="A258" s="13" t="inlineStr">
        <is>
          <t>TC_APP_257</t>
        </is>
      </c>
      <c r="B258" s="14" t="inlineStr">
        <is>
          <t>Battery Optimization &amp; App Lifecycle</t>
        </is>
      </c>
      <c r="C258" s="14" t="inlineStr">
        <is>
          <t>Verify app lifecycle backgrounding for 44s and foreground restoration</t>
        </is>
      </c>
      <c r="D258" s="14" t="inlineStr">
        <is>
          <t>App running in foreground</t>
        </is>
      </c>
      <c r="E258" s="14" t="inlineStr">
        <is>
          <t>1. Execute driver.background(44)
2. Re-activate app after 44 seconds
3. Verify state retention and re-auth requirements</t>
        </is>
      </c>
      <c r="F258" s="14" t="inlineStr">
        <is>
          <t>Background_Duration=44s</t>
        </is>
      </c>
      <c r="G258" s="14" t="inlineStr">
        <is>
          <t>App preserves operator state or prompts passcode re-entry based on background timer setting.</t>
        </is>
      </c>
      <c r="H258" s="13" t="inlineStr">
        <is>
          <t>Automated (Appium)</t>
        </is>
      </c>
      <c r="I258" s="13" t="inlineStr">
        <is>
          <t>P2</t>
        </is>
      </c>
      <c r="J258" s="13" t="inlineStr">
        <is>
          <t>Medium</t>
        </is>
      </c>
      <c r="K258" s="15" t="inlineStr">
        <is>
          <t>AUTOMATED</t>
        </is>
      </c>
    </row>
    <row r="259" ht="20" customHeight="1">
      <c r="A259" s="16" t="inlineStr">
        <is>
          <t>TC_APP_258</t>
        </is>
      </c>
      <c r="B259" s="17" t="inlineStr">
        <is>
          <t>Battery Optimization &amp; App Lifecycle</t>
        </is>
      </c>
      <c r="C259" s="17" t="inlineStr">
        <is>
          <t>Verify app lifecycle backgrounding for 46s and foreground restoration</t>
        </is>
      </c>
      <c r="D259" s="17" t="inlineStr">
        <is>
          <t>App running in foreground</t>
        </is>
      </c>
      <c r="E259" s="17" t="inlineStr">
        <is>
          <t>1. Execute driver.background(46)
2. Re-activate app after 46 seconds
3. Verify state retention and re-auth requirements</t>
        </is>
      </c>
      <c r="F259" s="17" t="inlineStr">
        <is>
          <t>Background_Duration=46s</t>
        </is>
      </c>
      <c r="G259" s="17" t="inlineStr">
        <is>
          <t>App preserves operator state or prompts passcode re-entry based on background timer setting.</t>
        </is>
      </c>
      <c r="H259" s="16" t="inlineStr">
        <is>
          <t>Automated (Appium)</t>
        </is>
      </c>
      <c r="I259" s="16" t="inlineStr">
        <is>
          <t>P2</t>
        </is>
      </c>
      <c r="J259" s="16" t="inlineStr">
        <is>
          <t>Medium</t>
        </is>
      </c>
      <c r="K259" s="15" t="inlineStr">
        <is>
          <t>AUTOMATED</t>
        </is>
      </c>
    </row>
    <row r="260" ht="20" customHeight="1">
      <c r="A260" s="13" t="inlineStr">
        <is>
          <t>TC_APP_259</t>
        </is>
      </c>
      <c r="B260" s="14" t="inlineStr">
        <is>
          <t>Battery Optimization &amp; App Lifecycle</t>
        </is>
      </c>
      <c r="C260" s="14" t="inlineStr">
        <is>
          <t>Verify app lifecycle backgrounding for 48s and foreground restoration</t>
        </is>
      </c>
      <c r="D260" s="14" t="inlineStr">
        <is>
          <t>App running in foreground</t>
        </is>
      </c>
      <c r="E260" s="14" t="inlineStr">
        <is>
          <t>1. Execute driver.background(48)
2. Re-activate app after 48 seconds
3. Verify state retention and re-auth requirements</t>
        </is>
      </c>
      <c r="F260" s="14" t="inlineStr">
        <is>
          <t>Background_Duration=48s</t>
        </is>
      </c>
      <c r="G260" s="14" t="inlineStr">
        <is>
          <t>App preserves operator state or prompts passcode re-entry based on background timer setting.</t>
        </is>
      </c>
      <c r="H260" s="13" t="inlineStr">
        <is>
          <t>Automated (Appium)</t>
        </is>
      </c>
      <c r="I260" s="13" t="inlineStr">
        <is>
          <t>P2</t>
        </is>
      </c>
      <c r="J260" s="13" t="inlineStr">
        <is>
          <t>Medium</t>
        </is>
      </c>
      <c r="K260" s="15" t="inlineStr">
        <is>
          <t>AUTOMATED</t>
        </is>
      </c>
    </row>
    <row r="261" ht="20" customHeight="1">
      <c r="A261" s="16" t="inlineStr">
        <is>
          <t>TC_APP_260</t>
        </is>
      </c>
      <c r="B261" s="17" t="inlineStr">
        <is>
          <t>Battery Optimization &amp; App Lifecycle</t>
        </is>
      </c>
      <c r="C261" s="17" t="inlineStr">
        <is>
          <t>Verify app lifecycle backgrounding for 50s and foreground restoration</t>
        </is>
      </c>
      <c r="D261" s="17" t="inlineStr">
        <is>
          <t>App running in foreground</t>
        </is>
      </c>
      <c r="E261" s="17" t="inlineStr">
        <is>
          <t>1. Execute driver.background(50)
2. Re-activate app after 50 seconds
3. Verify state retention and re-auth requirements</t>
        </is>
      </c>
      <c r="F261" s="17" t="inlineStr">
        <is>
          <t>Background_Duration=50s</t>
        </is>
      </c>
      <c r="G261" s="17" t="inlineStr">
        <is>
          <t>App preserves operator state or prompts passcode re-entry based on background timer setting.</t>
        </is>
      </c>
      <c r="H261" s="16" t="inlineStr">
        <is>
          <t>Automated (Appium)</t>
        </is>
      </c>
      <c r="I261" s="16" t="inlineStr">
        <is>
          <t>P2</t>
        </is>
      </c>
      <c r="J261" s="16" t="inlineStr">
        <is>
          <t>Medium</t>
        </is>
      </c>
      <c r="K261" s="15" t="inlineStr">
        <is>
          <t>AUTOMATED</t>
        </is>
      </c>
    </row>
    <row r="262" ht="20" customHeight="1">
      <c r="A262" s="13" t="inlineStr">
        <is>
          <t>TC_APP_261</t>
        </is>
      </c>
      <c r="B262" s="14" t="inlineStr">
        <is>
          <t>Cross-Device Android &amp; iOS Matrix</t>
        </is>
      </c>
      <c r="C262" s="14" t="inlineStr">
        <is>
          <t>Verify Appium automated execution on Google Pixel 7 Pro (Android 13.0)</t>
        </is>
      </c>
      <c r="D262" s="14" t="inlineStr">
        <is>
          <t>Device connected to Appium Grid (UiAutomator2)</t>
        </is>
      </c>
      <c r="E262" s="14" t="inlineStr">
        <is>
          <t>1. Initialize Appium session with deviceName='Google Pixel 7 Pro'
2. Execute core mobile navigation suite
3. Capture visual snapshot</t>
        </is>
      </c>
      <c r="F262" s="14" t="inlineStr">
        <is>
          <t>Device=Google Pixel 7 Pro, OS=Android 13.0, Resolution=1440x3120</t>
        </is>
      </c>
      <c r="G262" s="14" t="inlineStr">
        <is>
          <t>Test suite runs smoothly on Google Pixel 7 Pro with zero layout regressions.</t>
        </is>
      </c>
      <c r="H262" s="13" t="inlineStr">
        <is>
          <t>Automated (Appium)</t>
        </is>
      </c>
      <c r="I262" s="13" t="inlineStr">
        <is>
          <t>P2</t>
        </is>
      </c>
      <c r="J262" s="13" t="inlineStr">
        <is>
          <t>High</t>
        </is>
      </c>
      <c r="K262" s="15" t="inlineStr">
        <is>
          <t>PASSED</t>
        </is>
      </c>
    </row>
    <row r="263" ht="20" customHeight="1">
      <c r="A263" s="16" t="inlineStr">
        <is>
          <t>TC_APP_262</t>
        </is>
      </c>
      <c r="B263" s="17" t="inlineStr">
        <is>
          <t>Cross-Device Android &amp; iOS Matrix</t>
        </is>
      </c>
      <c r="C263" s="17" t="inlineStr">
        <is>
          <t>Verify Appium automated execution on Samsung Galaxy S23 Ultra (Android 14.0)</t>
        </is>
      </c>
      <c r="D263" s="17" t="inlineStr">
        <is>
          <t>Device connected to Appium Grid (UiAutomator2)</t>
        </is>
      </c>
      <c r="E263" s="17" t="inlineStr">
        <is>
          <t>1. Initialize Appium session with deviceName='Samsung Galaxy S23 Ultra'
2. Execute core mobile navigation suite
3. Capture visual snapshot</t>
        </is>
      </c>
      <c r="F263" s="17" t="inlineStr">
        <is>
          <t>Device=Samsung Galaxy S23 Ultra, OS=Android 14.0, Resolution=1440x3088</t>
        </is>
      </c>
      <c r="G263" s="17" t="inlineStr">
        <is>
          <t>Test suite runs smoothly on Samsung Galaxy S23 Ultra with zero layout regressions.</t>
        </is>
      </c>
      <c r="H263" s="16" t="inlineStr">
        <is>
          <t>Automated (Appium)</t>
        </is>
      </c>
      <c r="I263" s="16" t="inlineStr">
        <is>
          <t>P2</t>
        </is>
      </c>
      <c r="J263" s="16" t="inlineStr">
        <is>
          <t>High</t>
        </is>
      </c>
      <c r="K263" s="15" t="inlineStr">
        <is>
          <t>PASSED</t>
        </is>
      </c>
    </row>
    <row r="264" ht="20" customHeight="1">
      <c r="A264" s="13" t="inlineStr">
        <is>
          <t>TC_APP_263</t>
        </is>
      </c>
      <c r="B264" s="14" t="inlineStr">
        <is>
          <t>Cross-Device Android &amp; iOS Matrix</t>
        </is>
      </c>
      <c r="C264" s="14" t="inlineStr">
        <is>
          <t>Verify Appium automated execution on iPhone 14 Pro Max (iOS 16.4)</t>
        </is>
      </c>
      <c r="D264" s="14" t="inlineStr">
        <is>
          <t>Device connected to Appium Grid (XCUITest)</t>
        </is>
      </c>
      <c r="E264" s="14" t="inlineStr">
        <is>
          <t>1. Initialize Appium session with deviceName='iPhone 14 Pro Max'
2. Execute core mobile navigation suite
3. Capture visual snapshot</t>
        </is>
      </c>
      <c r="F264" s="14" t="inlineStr">
        <is>
          <t>Device=iPhone 14 Pro Max, OS=iOS 16.4, Resolution=1290x2796</t>
        </is>
      </c>
      <c r="G264" s="14" t="inlineStr">
        <is>
          <t>Test suite runs smoothly on iPhone 14 Pro Max with zero layout regressions.</t>
        </is>
      </c>
      <c r="H264" s="13" t="inlineStr">
        <is>
          <t>Automated (Appium)</t>
        </is>
      </c>
      <c r="I264" s="13" t="inlineStr">
        <is>
          <t>P2</t>
        </is>
      </c>
      <c r="J264" s="13" t="inlineStr">
        <is>
          <t>High</t>
        </is>
      </c>
      <c r="K264" s="15" t="inlineStr">
        <is>
          <t>PASSED</t>
        </is>
      </c>
    </row>
    <row r="265" ht="20" customHeight="1">
      <c r="A265" s="16" t="inlineStr">
        <is>
          <t>TC_APP_264</t>
        </is>
      </c>
      <c r="B265" s="17" t="inlineStr">
        <is>
          <t>Cross-Device Android &amp; iOS Matrix</t>
        </is>
      </c>
      <c r="C265" s="17" t="inlineStr">
        <is>
          <t>Verify Appium automated execution on iPhone 13 Mini (iOS 15.0)</t>
        </is>
      </c>
      <c r="D265" s="17" t="inlineStr">
        <is>
          <t>Device connected to Appium Grid (XCUITest)</t>
        </is>
      </c>
      <c r="E265" s="17" t="inlineStr">
        <is>
          <t>1. Initialize Appium session with deviceName='iPhone 13 Mini'
2. Execute core mobile navigation suite
3. Capture visual snapshot</t>
        </is>
      </c>
      <c r="F265" s="17" t="inlineStr">
        <is>
          <t>Device=iPhone 13 Mini, OS=iOS 15.0, Resolution=1080x2340</t>
        </is>
      </c>
      <c r="G265" s="17" t="inlineStr">
        <is>
          <t>Test suite runs smoothly on iPhone 13 Mini with zero layout regressions.</t>
        </is>
      </c>
      <c r="H265" s="16" t="inlineStr">
        <is>
          <t>Automated (Appium)</t>
        </is>
      </c>
      <c r="I265" s="16" t="inlineStr">
        <is>
          <t>P2</t>
        </is>
      </c>
      <c r="J265" s="16" t="inlineStr">
        <is>
          <t>High</t>
        </is>
      </c>
      <c r="K265" s="15" t="inlineStr">
        <is>
          <t>PASSED</t>
        </is>
      </c>
    </row>
    <row r="266" ht="20" customHeight="1">
      <c r="A266" s="13" t="inlineStr">
        <is>
          <t>TC_APP_265</t>
        </is>
      </c>
      <c r="B266" s="14" t="inlineStr">
        <is>
          <t>Cross-Device Android &amp; iOS Matrix</t>
        </is>
      </c>
      <c r="C266" s="14" t="inlineStr">
        <is>
          <t>Verify Appium automated execution on iPad Air 5th Gen (iPadOS 16.4)</t>
        </is>
      </c>
      <c r="D266" s="14" t="inlineStr">
        <is>
          <t>Device connected to Appium Grid (XCUITest)</t>
        </is>
      </c>
      <c r="E266" s="14" t="inlineStr">
        <is>
          <t>1. Initialize Appium session with deviceName='iPad Air 5th Gen'
2. Execute core mobile navigation suite
3. Capture visual snapshot</t>
        </is>
      </c>
      <c r="F266" s="14" t="inlineStr">
        <is>
          <t>Device=iPad Air 5th Gen, OS=iPadOS 16.4, Resolution=1640x2360</t>
        </is>
      </c>
      <c r="G266" s="14" t="inlineStr">
        <is>
          <t>Test suite runs smoothly on iPad Air 5th Gen with zero layout regressions.</t>
        </is>
      </c>
      <c r="H266" s="13" t="inlineStr">
        <is>
          <t>Automated (Appium)</t>
        </is>
      </c>
      <c r="I266" s="13" t="inlineStr">
        <is>
          <t>P2</t>
        </is>
      </c>
      <c r="J266" s="13" t="inlineStr">
        <is>
          <t>High</t>
        </is>
      </c>
      <c r="K266" s="15" t="inlineStr">
        <is>
          <t>PASSED</t>
        </is>
      </c>
    </row>
    <row r="267" ht="20" customHeight="1">
      <c r="A267" s="16" t="inlineStr">
        <is>
          <t>TC_APP_266</t>
        </is>
      </c>
      <c r="B267" s="17" t="inlineStr">
        <is>
          <t>Cross-Device Android &amp; iOS Matrix</t>
        </is>
      </c>
      <c r="C267" s="17" t="inlineStr">
        <is>
          <t>Verify Appium automated execution on Samsung Galaxy Tab S8 (Android 12.0)</t>
        </is>
      </c>
      <c r="D267" s="17" t="inlineStr">
        <is>
          <t>Device connected to Appium Grid (UiAutomator2)</t>
        </is>
      </c>
      <c r="E267" s="17" t="inlineStr">
        <is>
          <t>1. Initialize Appium session with deviceName='Samsung Galaxy Tab S8'
2. Execute core mobile navigation suite
3. Capture visual snapshot</t>
        </is>
      </c>
      <c r="F267" s="17" t="inlineStr">
        <is>
          <t>Device=Samsung Galaxy Tab S8, OS=Android 12.0, Resolution=1600x2560</t>
        </is>
      </c>
      <c r="G267" s="17" t="inlineStr">
        <is>
          <t>Test suite runs smoothly on Samsung Galaxy Tab S8 with zero layout regressions.</t>
        </is>
      </c>
      <c r="H267" s="16" t="inlineStr">
        <is>
          <t>Automated (Appium)</t>
        </is>
      </c>
      <c r="I267" s="16" t="inlineStr">
        <is>
          <t>P2</t>
        </is>
      </c>
      <c r="J267" s="16" t="inlineStr">
        <is>
          <t>Medium</t>
        </is>
      </c>
      <c r="K267" s="15" t="inlineStr">
        <is>
          <t>PASSED</t>
        </is>
      </c>
    </row>
    <row r="268" ht="20" customHeight="1">
      <c r="A268" s="13" t="inlineStr">
        <is>
          <t>TC_APP_267</t>
        </is>
      </c>
      <c r="B268" s="14" t="inlineStr">
        <is>
          <t>Cross-Device Android &amp; iOS Matrix</t>
        </is>
      </c>
      <c r="C268" s="14" t="inlineStr">
        <is>
          <t>Verify Appium automated execution on Google Pixel Fold (Android 13.0)</t>
        </is>
      </c>
      <c r="D268" s="14" t="inlineStr">
        <is>
          <t>Device connected to Appium Grid (UiAutomator2)</t>
        </is>
      </c>
      <c r="E268" s="14" t="inlineStr">
        <is>
          <t>1. Initialize Appium session with deviceName='Google Pixel Fold'
2. Execute core mobile navigation suite
3. Capture visual snapshot</t>
        </is>
      </c>
      <c r="F268" s="14" t="inlineStr">
        <is>
          <t>Device=Google Pixel Fold, OS=Android 13.0, Resolution=1840x2208</t>
        </is>
      </c>
      <c r="G268" s="14" t="inlineStr">
        <is>
          <t>Test suite runs smoothly on Google Pixel Fold with zero layout regressions.</t>
        </is>
      </c>
      <c r="H268" s="13" t="inlineStr">
        <is>
          <t>Automated (Appium)</t>
        </is>
      </c>
      <c r="I268" s="13" t="inlineStr">
        <is>
          <t>P2</t>
        </is>
      </c>
      <c r="J268" s="13" t="inlineStr">
        <is>
          <t>Medium</t>
        </is>
      </c>
      <c r="K268" s="15" t="inlineStr">
        <is>
          <t>PASSED</t>
        </is>
      </c>
    </row>
    <row r="269" ht="20" customHeight="1">
      <c r="A269" s="16" t="inlineStr">
        <is>
          <t>TC_APP_268</t>
        </is>
      </c>
      <c r="B269" s="17" t="inlineStr">
        <is>
          <t>Cross-Device Android &amp; iOS Matrix</t>
        </is>
      </c>
      <c r="C269" s="17" t="inlineStr">
        <is>
          <t>Verify Appium automated execution on OnePlus 11 5G (Android 13.0)</t>
        </is>
      </c>
      <c r="D269" s="17" t="inlineStr">
        <is>
          <t>Device connected to Appium Grid (UiAutomator2)</t>
        </is>
      </c>
      <c r="E269" s="17" t="inlineStr">
        <is>
          <t>1. Initialize Appium session with deviceName='OnePlus 11 5G'
2. Execute core mobile navigation suite
3. Capture visual snapshot</t>
        </is>
      </c>
      <c r="F269" s="17" t="inlineStr">
        <is>
          <t>Device=OnePlus 11 5G, OS=Android 13.0, Resolution=1440x3216</t>
        </is>
      </c>
      <c r="G269" s="17" t="inlineStr">
        <is>
          <t>Test suite runs smoothly on OnePlus 11 5G with zero layout regressions.</t>
        </is>
      </c>
      <c r="H269" s="16" t="inlineStr">
        <is>
          <t>Automated (Appium)</t>
        </is>
      </c>
      <c r="I269" s="16" t="inlineStr">
        <is>
          <t>P2</t>
        </is>
      </c>
      <c r="J269" s="16" t="inlineStr">
        <is>
          <t>Medium</t>
        </is>
      </c>
      <c r="K269" s="15" t="inlineStr">
        <is>
          <t>PASSED</t>
        </is>
      </c>
    </row>
    <row r="270" ht="20" customHeight="1">
      <c r="A270" s="13" t="inlineStr">
        <is>
          <t>TC_APP_269</t>
        </is>
      </c>
      <c r="B270" s="14" t="inlineStr">
        <is>
          <t>Cross-Device Android &amp; iOS Matrix</t>
        </is>
      </c>
      <c r="C270" s="14" t="inlineStr">
        <is>
          <t>Verify Appium automated execution on Xiaomi 13 Pro (Android 13.0)</t>
        </is>
      </c>
      <c r="D270" s="14" t="inlineStr">
        <is>
          <t>Device connected to Appium Grid (UiAutomator2)</t>
        </is>
      </c>
      <c r="E270" s="14" t="inlineStr">
        <is>
          <t>1. Initialize Appium session with deviceName='Xiaomi 13 Pro'
2. Execute core mobile navigation suite
3. Capture visual snapshot</t>
        </is>
      </c>
      <c r="F270" s="14" t="inlineStr">
        <is>
          <t>Device=Xiaomi 13 Pro, OS=Android 13.0, Resolution=1440x3200</t>
        </is>
      </c>
      <c r="G270" s="14" t="inlineStr">
        <is>
          <t>Test suite runs smoothly on Xiaomi 13 Pro with zero layout regressions.</t>
        </is>
      </c>
      <c r="H270" s="13" t="inlineStr">
        <is>
          <t>Automated (Appium)</t>
        </is>
      </c>
      <c r="I270" s="13" t="inlineStr">
        <is>
          <t>P2</t>
        </is>
      </c>
      <c r="J270" s="13" t="inlineStr">
        <is>
          <t>Medium</t>
        </is>
      </c>
      <c r="K270" s="15" t="inlineStr">
        <is>
          <t>PASSED</t>
        </is>
      </c>
    </row>
    <row r="271" ht="20" customHeight="1">
      <c r="A271" s="16" t="inlineStr">
        <is>
          <t>TC_APP_270</t>
        </is>
      </c>
      <c r="B271" s="17" t="inlineStr">
        <is>
          <t>Cross-Device Android &amp; iOS Matrix</t>
        </is>
      </c>
      <c r="C271" s="17" t="inlineStr">
        <is>
          <t>Verify Appium automated execution on iPhone SE 3rd Gen (iOS 16.0)</t>
        </is>
      </c>
      <c r="D271" s="17" t="inlineStr">
        <is>
          <t>Device connected to Appium Grid (XCUITest)</t>
        </is>
      </c>
      <c r="E271" s="17" t="inlineStr">
        <is>
          <t>1. Initialize Appium session with deviceName='iPhone SE 3rd Gen'
2. Execute core mobile navigation suite
3. Capture visual snapshot</t>
        </is>
      </c>
      <c r="F271" s="17" t="inlineStr">
        <is>
          <t>Device=iPhone SE 3rd Gen, OS=iOS 16.0, Resolution=750x1334</t>
        </is>
      </c>
      <c r="G271" s="17" t="inlineStr">
        <is>
          <t>Test suite runs smoothly on iPhone SE 3rd Gen with zero layout regressions.</t>
        </is>
      </c>
      <c r="H271" s="16" t="inlineStr">
        <is>
          <t>Automated (Appium)</t>
        </is>
      </c>
      <c r="I271" s="16" t="inlineStr">
        <is>
          <t>P2</t>
        </is>
      </c>
      <c r="J271" s="16" t="inlineStr">
        <is>
          <t>Medium</t>
        </is>
      </c>
      <c r="K271" s="15" t="inlineStr">
        <is>
          <t>PASSED</t>
        </is>
      </c>
    </row>
    <row r="272" ht="20" customHeight="1">
      <c r="A272" s="13" t="inlineStr">
        <is>
          <t>TC_APP_271</t>
        </is>
      </c>
      <c r="B272" s="14" t="inlineStr">
        <is>
          <t>Cross-Device Android &amp; iOS Matrix</t>
        </is>
      </c>
      <c r="C272" s="14" t="inlineStr">
        <is>
          <t>Verify Appium automated execution on Google Pixel 7 Pro (Android 13.0)</t>
        </is>
      </c>
      <c r="D272" s="14" t="inlineStr">
        <is>
          <t>Device connected to Appium Grid (UiAutomator2)</t>
        </is>
      </c>
      <c r="E272" s="14" t="inlineStr">
        <is>
          <t>1. Initialize Appium session with deviceName='Google Pixel 7 Pro'
2. Execute core mobile navigation suite
3. Capture visual snapshot</t>
        </is>
      </c>
      <c r="F272" s="14" t="inlineStr">
        <is>
          <t>Device=Google Pixel 7 Pro, OS=Android 13.0, Resolution=1440x3120</t>
        </is>
      </c>
      <c r="G272" s="14" t="inlineStr">
        <is>
          <t>Test suite runs smoothly on Google Pixel 7 Pro with zero layout regressions.</t>
        </is>
      </c>
      <c r="H272" s="13" t="inlineStr">
        <is>
          <t>Automated (Appium)</t>
        </is>
      </c>
      <c r="I272" s="13" t="inlineStr">
        <is>
          <t>P2</t>
        </is>
      </c>
      <c r="J272" s="13" t="inlineStr">
        <is>
          <t>Medium</t>
        </is>
      </c>
      <c r="K272" s="15" t="inlineStr">
        <is>
          <t>AUTOMATED</t>
        </is>
      </c>
    </row>
    <row r="273" ht="20" customHeight="1">
      <c r="A273" s="16" t="inlineStr">
        <is>
          <t>TC_APP_272</t>
        </is>
      </c>
      <c r="B273" s="17" t="inlineStr">
        <is>
          <t>Cross-Device Android &amp; iOS Matrix</t>
        </is>
      </c>
      <c r="C273" s="17" t="inlineStr">
        <is>
          <t>Verify Appium automated execution on Samsung Galaxy S23 Ultra (Android 14.0)</t>
        </is>
      </c>
      <c r="D273" s="17" t="inlineStr">
        <is>
          <t>Device connected to Appium Grid (UiAutomator2)</t>
        </is>
      </c>
      <c r="E273" s="17" t="inlineStr">
        <is>
          <t>1. Initialize Appium session with deviceName='Samsung Galaxy S23 Ultra'
2. Execute core mobile navigation suite
3. Capture visual snapshot</t>
        </is>
      </c>
      <c r="F273" s="17" t="inlineStr">
        <is>
          <t>Device=Samsung Galaxy S23 Ultra, OS=Android 14.0, Resolution=1440x3088</t>
        </is>
      </c>
      <c r="G273" s="17" t="inlineStr">
        <is>
          <t>Test suite runs smoothly on Samsung Galaxy S23 Ultra with zero layout regressions.</t>
        </is>
      </c>
      <c r="H273" s="16" t="inlineStr">
        <is>
          <t>Automated (Appium)</t>
        </is>
      </c>
      <c r="I273" s="16" t="inlineStr">
        <is>
          <t>P2</t>
        </is>
      </c>
      <c r="J273" s="16" t="inlineStr">
        <is>
          <t>Medium</t>
        </is>
      </c>
      <c r="K273" s="15" t="inlineStr">
        <is>
          <t>AUTOMATED</t>
        </is>
      </c>
    </row>
    <row r="274" ht="20" customHeight="1">
      <c r="A274" s="13" t="inlineStr">
        <is>
          <t>TC_APP_273</t>
        </is>
      </c>
      <c r="B274" s="14" t="inlineStr">
        <is>
          <t>Cross-Device Android &amp; iOS Matrix</t>
        </is>
      </c>
      <c r="C274" s="14" t="inlineStr">
        <is>
          <t>Verify Appium automated execution on iPhone 14 Pro Max (iOS 16.4)</t>
        </is>
      </c>
      <c r="D274" s="14" t="inlineStr">
        <is>
          <t>Device connected to Appium Grid (XCUITest)</t>
        </is>
      </c>
      <c r="E274" s="14" t="inlineStr">
        <is>
          <t>1. Initialize Appium session with deviceName='iPhone 14 Pro Max'
2. Execute core mobile navigation suite
3. Capture visual snapshot</t>
        </is>
      </c>
      <c r="F274" s="14" t="inlineStr">
        <is>
          <t>Device=iPhone 14 Pro Max, OS=iOS 16.4, Resolution=1290x2796</t>
        </is>
      </c>
      <c r="G274" s="14" t="inlineStr">
        <is>
          <t>Test suite runs smoothly on iPhone 14 Pro Max with zero layout regressions.</t>
        </is>
      </c>
      <c r="H274" s="13" t="inlineStr">
        <is>
          <t>Automated (Appium)</t>
        </is>
      </c>
      <c r="I274" s="13" t="inlineStr">
        <is>
          <t>P2</t>
        </is>
      </c>
      <c r="J274" s="13" t="inlineStr">
        <is>
          <t>Medium</t>
        </is>
      </c>
      <c r="K274" s="15" t="inlineStr">
        <is>
          <t>AUTOMATED</t>
        </is>
      </c>
    </row>
    <row r="275" ht="20" customHeight="1">
      <c r="A275" s="16" t="inlineStr">
        <is>
          <t>TC_APP_274</t>
        </is>
      </c>
      <c r="B275" s="17" t="inlineStr">
        <is>
          <t>Cross-Device Android &amp; iOS Matrix</t>
        </is>
      </c>
      <c r="C275" s="17" t="inlineStr">
        <is>
          <t>Verify Appium automated execution on iPhone 13 Mini (iOS 15.0)</t>
        </is>
      </c>
      <c r="D275" s="17" t="inlineStr">
        <is>
          <t>Device connected to Appium Grid (XCUITest)</t>
        </is>
      </c>
      <c r="E275" s="17" t="inlineStr">
        <is>
          <t>1. Initialize Appium session with deviceName='iPhone 13 Mini'
2. Execute core mobile navigation suite
3. Capture visual snapshot</t>
        </is>
      </c>
      <c r="F275" s="17" t="inlineStr">
        <is>
          <t>Device=iPhone 13 Mini, OS=iOS 15.0, Resolution=1080x2340</t>
        </is>
      </c>
      <c r="G275" s="17" t="inlineStr">
        <is>
          <t>Test suite runs smoothly on iPhone 13 Mini with zero layout regressions.</t>
        </is>
      </c>
      <c r="H275" s="16" t="inlineStr">
        <is>
          <t>Automated (Appium)</t>
        </is>
      </c>
      <c r="I275" s="16" t="inlineStr">
        <is>
          <t>P2</t>
        </is>
      </c>
      <c r="J275" s="16" t="inlineStr">
        <is>
          <t>Medium</t>
        </is>
      </c>
      <c r="K275" s="15" t="inlineStr">
        <is>
          <t>AUTOMATED</t>
        </is>
      </c>
    </row>
    <row r="276" ht="20" customHeight="1">
      <c r="A276" s="13" t="inlineStr">
        <is>
          <t>TC_APP_275</t>
        </is>
      </c>
      <c r="B276" s="14" t="inlineStr">
        <is>
          <t>Cross-Device Android &amp; iOS Matrix</t>
        </is>
      </c>
      <c r="C276" s="14" t="inlineStr">
        <is>
          <t>Verify Appium automated execution on iPad Air 5th Gen (iPadOS 16.4)</t>
        </is>
      </c>
      <c r="D276" s="14" t="inlineStr">
        <is>
          <t>Device connected to Appium Grid (XCUITest)</t>
        </is>
      </c>
      <c r="E276" s="14" t="inlineStr">
        <is>
          <t>1. Initialize Appium session with deviceName='iPad Air 5th Gen'
2. Execute core mobile navigation suite
3. Capture visual snapshot</t>
        </is>
      </c>
      <c r="F276" s="14" t="inlineStr">
        <is>
          <t>Device=iPad Air 5th Gen, OS=iPadOS 16.4, Resolution=1640x2360</t>
        </is>
      </c>
      <c r="G276" s="14" t="inlineStr">
        <is>
          <t>Test suite runs smoothly on iPad Air 5th Gen with zero layout regressions.</t>
        </is>
      </c>
      <c r="H276" s="13" t="inlineStr">
        <is>
          <t>Automated (Appium)</t>
        </is>
      </c>
      <c r="I276" s="13" t="inlineStr">
        <is>
          <t>P2</t>
        </is>
      </c>
      <c r="J276" s="13" t="inlineStr">
        <is>
          <t>Medium</t>
        </is>
      </c>
      <c r="K276" s="15" t="inlineStr">
        <is>
          <t>AUTOMATED</t>
        </is>
      </c>
    </row>
    <row r="277" ht="20" customHeight="1">
      <c r="A277" s="16" t="inlineStr">
        <is>
          <t>TC_APP_276</t>
        </is>
      </c>
      <c r="B277" s="17" t="inlineStr">
        <is>
          <t>Cross-Device Android &amp; iOS Matrix</t>
        </is>
      </c>
      <c r="C277" s="17" t="inlineStr">
        <is>
          <t>Verify Appium automated execution on Samsung Galaxy Tab S8 (Android 12.0)</t>
        </is>
      </c>
      <c r="D277" s="17" t="inlineStr">
        <is>
          <t>Device connected to Appium Grid (UiAutomator2)</t>
        </is>
      </c>
      <c r="E277" s="17" t="inlineStr">
        <is>
          <t>1. Initialize Appium session with deviceName='Samsung Galaxy Tab S8'
2. Execute core mobile navigation suite
3. Capture visual snapshot</t>
        </is>
      </c>
      <c r="F277" s="17" t="inlineStr">
        <is>
          <t>Device=Samsung Galaxy Tab S8, OS=Android 12.0, Resolution=1600x2560</t>
        </is>
      </c>
      <c r="G277" s="17" t="inlineStr">
        <is>
          <t>Test suite runs smoothly on Samsung Galaxy Tab S8 with zero layout regressions.</t>
        </is>
      </c>
      <c r="H277" s="16" t="inlineStr">
        <is>
          <t>Manual</t>
        </is>
      </c>
      <c r="I277" s="16" t="inlineStr">
        <is>
          <t>P2</t>
        </is>
      </c>
      <c r="J277" s="16" t="inlineStr">
        <is>
          <t>Medium</t>
        </is>
      </c>
      <c r="K277" s="15" t="inlineStr">
        <is>
          <t>AUTOMATED</t>
        </is>
      </c>
    </row>
    <row r="278" ht="20" customHeight="1">
      <c r="A278" s="13" t="inlineStr">
        <is>
          <t>TC_APP_277</t>
        </is>
      </c>
      <c r="B278" s="14" t="inlineStr">
        <is>
          <t>Cross-Device Android &amp; iOS Matrix</t>
        </is>
      </c>
      <c r="C278" s="14" t="inlineStr">
        <is>
          <t>Verify Appium automated execution on Google Pixel Fold (Android 13.0)</t>
        </is>
      </c>
      <c r="D278" s="14" t="inlineStr">
        <is>
          <t>Device connected to Appium Grid (UiAutomator2)</t>
        </is>
      </c>
      <c r="E278" s="14" t="inlineStr">
        <is>
          <t>1. Initialize Appium session with deviceName='Google Pixel Fold'
2. Execute core mobile navigation suite
3. Capture visual snapshot</t>
        </is>
      </c>
      <c r="F278" s="14" t="inlineStr">
        <is>
          <t>Device=Google Pixel Fold, OS=Android 13.0, Resolution=1840x2208</t>
        </is>
      </c>
      <c r="G278" s="14" t="inlineStr">
        <is>
          <t>Test suite runs smoothly on Google Pixel Fold with zero layout regressions.</t>
        </is>
      </c>
      <c r="H278" s="13" t="inlineStr">
        <is>
          <t>Manual</t>
        </is>
      </c>
      <c r="I278" s="13" t="inlineStr">
        <is>
          <t>P2</t>
        </is>
      </c>
      <c r="J278" s="13" t="inlineStr">
        <is>
          <t>Medium</t>
        </is>
      </c>
      <c r="K278" s="15" t="inlineStr">
        <is>
          <t>AUTOMATED</t>
        </is>
      </c>
    </row>
    <row r="279" ht="20" customHeight="1">
      <c r="A279" s="16" t="inlineStr">
        <is>
          <t>TC_APP_278</t>
        </is>
      </c>
      <c r="B279" s="17" t="inlineStr">
        <is>
          <t>Cross-Device Android &amp; iOS Matrix</t>
        </is>
      </c>
      <c r="C279" s="17" t="inlineStr">
        <is>
          <t>Verify Appium automated execution on OnePlus 11 5G (Android 13.0)</t>
        </is>
      </c>
      <c r="D279" s="17" t="inlineStr">
        <is>
          <t>Device connected to Appium Grid (UiAutomator2)</t>
        </is>
      </c>
      <c r="E279" s="17" t="inlineStr">
        <is>
          <t>1. Initialize Appium session with deviceName='OnePlus 11 5G'
2. Execute core mobile navigation suite
3. Capture visual snapshot</t>
        </is>
      </c>
      <c r="F279" s="17" t="inlineStr">
        <is>
          <t>Device=OnePlus 11 5G, OS=Android 13.0, Resolution=1440x3216</t>
        </is>
      </c>
      <c r="G279" s="17" t="inlineStr">
        <is>
          <t>Test suite runs smoothly on OnePlus 11 5G with zero layout regressions.</t>
        </is>
      </c>
      <c r="H279" s="16" t="inlineStr">
        <is>
          <t>Manual</t>
        </is>
      </c>
      <c r="I279" s="16" t="inlineStr">
        <is>
          <t>P2</t>
        </is>
      </c>
      <c r="J279" s="16" t="inlineStr">
        <is>
          <t>Medium</t>
        </is>
      </c>
      <c r="K279" s="15" t="inlineStr">
        <is>
          <t>AUTOMATED</t>
        </is>
      </c>
    </row>
    <row r="280" ht="20" customHeight="1">
      <c r="A280" s="13" t="inlineStr">
        <is>
          <t>TC_APP_279</t>
        </is>
      </c>
      <c r="B280" s="14" t="inlineStr">
        <is>
          <t>Cross-Device Android &amp; iOS Matrix</t>
        </is>
      </c>
      <c r="C280" s="14" t="inlineStr">
        <is>
          <t>Verify Appium automated execution on Xiaomi 13 Pro (Android 13.0)</t>
        </is>
      </c>
      <c r="D280" s="14" t="inlineStr">
        <is>
          <t>Device connected to Appium Grid (UiAutomator2)</t>
        </is>
      </c>
      <c r="E280" s="14" t="inlineStr">
        <is>
          <t>1. Initialize Appium session with deviceName='Xiaomi 13 Pro'
2. Execute core mobile navigation suite
3. Capture visual snapshot</t>
        </is>
      </c>
      <c r="F280" s="14" t="inlineStr">
        <is>
          <t>Device=Xiaomi 13 Pro, OS=Android 13.0, Resolution=1440x3200</t>
        </is>
      </c>
      <c r="G280" s="14" t="inlineStr">
        <is>
          <t>Test suite runs smoothly on Xiaomi 13 Pro with zero layout regressions.</t>
        </is>
      </c>
      <c r="H280" s="13" t="inlineStr">
        <is>
          <t>Manual</t>
        </is>
      </c>
      <c r="I280" s="13" t="inlineStr">
        <is>
          <t>P2</t>
        </is>
      </c>
      <c r="J280" s="13" t="inlineStr">
        <is>
          <t>Medium</t>
        </is>
      </c>
      <c r="K280" s="15" t="inlineStr">
        <is>
          <t>AUTOMATED</t>
        </is>
      </c>
    </row>
    <row r="281" ht="20" customHeight="1">
      <c r="A281" s="16" t="inlineStr">
        <is>
          <t>TC_APP_280</t>
        </is>
      </c>
      <c r="B281" s="17" t="inlineStr">
        <is>
          <t>Cross-Device Android &amp; iOS Matrix</t>
        </is>
      </c>
      <c r="C281" s="17" t="inlineStr">
        <is>
          <t>Verify Appium automated execution on iPhone SE 3rd Gen (iOS 16.0)</t>
        </is>
      </c>
      <c r="D281" s="17" t="inlineStr">
        <is>
          <t>Device connected to Appium Grid (XCUITest)</t>
        </is>
      </c>
      <c r="E281" s="17" t="inlineStr">
        <is>
          <t>1. Initialize Appium session with deviceName='iPhone SE 3rd Gen'
2. Execute core mobile navigation suite
3. Capture visual snapshot</t>
        </is>
      </c>
      <c r="F281" s="17" t="inlineStr">
        <is>
          <t>Device=iPhone SE 3rd Gen, OS=iOS 16.0, Resolution=750x1334</t>
        </is>
      </c>
      <c r="G281" s="17" t="inlineStr">
        <is>
          <t>Test suite runs smoothly on iPhone SE 3rd Gen with zero layout regressions.</t>
        </is>
      </c>
      <c r="H281" s="16" t="inlineStr">
        <is>
          <t>Manual</t>
        </is>
      </c>
      <c r="I281" s="16" t="inlineStr">
        <is>
          <t>P2</t>
        </is>
      </c>
      <c r="J281" s="16" t="inlineStr">
        <is>
          <t>Medium</t>
        </is>
      </c>
      <c r="K281" s="15" t="inlineStr">
        <is>
          <t>AUTOMATED</t>
        </is>
      </c>
    </row>
    <row r="282" ht="20" customHeight="1">
      <c r="A282" s="13" t="inlineStr">
        <is>
          <t>TC_APP_281</t>
        </is>
      </c>
      <c r="B282" s="14" t="inlineStr">
        <is>
          <t>Cross-Device Android &amp; iOS Matrix</t>
        </is>
      </c>
      <c r="C282" s="14" t="inlineStr">
        <is>
          <t>Verify Appium automated execution on Google Pixel 7 Pro (Android 13.0)</t>
        </is>
      </c>
      <c r="D282" s="14" t="inlineStr">
        <is>
          <t>Device connected to Appium Grid (UiAutomator2)</t>
        </is>
      </c>
      <c r="E282" s="14" t="inlineStr">
        <is>
          <t>1. Initialize Appium session with deviceName='Google Pixel 7 Pro'
2. Execute core mobile navigation suite
3. Capture visual snapshot</t>
        </is>
      </c>
      <c r="F282" s="14" t="inlineStr">
        <is>
          <t>Device=Google Pixel 7 Pro, OS=Android 13.0, Resolution=1440x3120</t>
        </is>
      </c>
      <c r="G282" s="14" t="inlineStr">
        <is>
          <t>Test suite runs smoothly on Google Pixel 7 Pro with zero layout regressions.</t>
        </is>
      </c>
      <c r="H282" s="13" t="inlineStr">
        <is>
          <t>Manual</t>
        </is>
      </c>
      <c r="I282" s="13" t="inlineStr">
        <is>
          <t>P2</t>
        </is>
      </c>
      <c r="J282" s="13" t="inlineStr">
        <is>
          <t>Medium</t>
        </is>
      </c>
      <c r="K282" s="15" t="inlineStr">
        <is>
          <t>AUTOMATED</t>
        </is>
      </c>
    </row>
    <row r="283" ht="20" customHeight="1">
      <c r="A283" s="16" t="inlineStr">
        <is>
          <t>TC_APP_282</t>
        </is>
      </c>
      <c r="B283" s="17" t="inlineStr">
        <is>
          <t>Cross-Device Android &amp; iOS Matrix</t>
        </is>
      </c>
      <c r="C283" s="17" t="inlineStr">
        <is>
          <t>Verify Appium automated execution on Samsung Galaxy S23 Ultra (Android 14.0)</t>
        </is>
      </c>
      <c r="D283" s="17" t="inlineStr">
        <is>
          <t>Device connected to Appium Grid (UiAutomator2)</t>
        </is>
      </c>
      <c r="E283" s="17" t="inlineStr">
        <is>
          <t>1. Initialize Appium session with deviceName='Samsung Galaxy S23 Ultra'
2. Execute core mobile navigation suite
3. Capture visual snapshot</t>
        </is>
      </c>
      <c r="F283" s="17" t="inlineStr">
        <is>
          <t>Device=Samsung Galaxy S23 Ultra, OS=Android 14.0, Resolution=1440x3088</t>
        </is>
      </c>
      <c r="G283" s="17" t="inlineStr">
        <is>
          <t>Test suite runs smoothly on Samsung Galaxy S23 Ultra with zero layout regressions.</t>
        </is>
      </c>
      <c r="H283" s="16" t="inlineStr">
        <is>
          <t>Manual</t>
        </is>
      </c>
      <c r="I283" s="16" t="inlineStr">
        <is>
          <t>P2</t>
        </is>
      </c>
      <c r="J283" s="16" t="inlineStr">
        <is>
          <t>Medium</t>
        </is>
      </c>
      <c r="K283" s="15" t="inlineStr">
        <is>
          <t>AUTOMATED</t>
        </is>
      </c>
    </row>
    <row r="284" ht="20" customHeight="1">
      <c r="A284" s="13" t="inlineStr">
        <is>
          <t>TC_APP_283</t>
        </is>
      </c>
      <c r="B284" s="14" t="inlineStr">
        <is>
          <t>Cross-Device Android &amp; iOS Matrix</t>
        </is>
      </c>
      <c r="C284" s="14" t="inlineStr">
        <is>
          <t>Verify Appium automated execution on iPhone 14 Pro Max (iOS 16.4)</t>
        </is>
      </c>
      <c r="D284" s="14" t="inlineStr">
        <is>
          <t>Device connected to Appium Grid (XCUITest)</t>
        </is>
      </c>
      <c r="E284" s="14" t="inlineStr">
        <is>
          <t>1. Initialize Appium session with deviceName='iPhone 14 Pro Max'
2. Execute core mobile navigation suite
3. Capture visual snapshot</t>
        </is>
      </c>
      <c r="F284" s="14" t="inlineStr">
        <is>
          <t>Device=iPhone 14 Pro Max, OS=iOS 16.4, Resolution=1290x2796</t>
        </is>
      </c>
      <c r="G284" s="14" t="inlineStr">
        <is>
          <t>Test suite runs smoothly on iPhone 14 Pro Max with zero layout regressions.</t>
        </is>
      </c>
      <c r="H284" s="13" t="inlineStr">
        <is>
          <t>Manual</t>
        </is>
      </c>
      <c r="I284" s="13" t="inlineStr">
        <is>
          <t>P2</t>
        </is>
      </c>
      <c r="J284" s="13" t="inlineStr">
        <is>
          <t>Medium</t>
        </is>
      </c>
      <c r="K284" s="15" t="inlineStr">
        <is>
          <t>AUTOMATED</t>
        </is>
      </c>
    </row>
    <row r="285" ht="20" customHeight="1">
      <c r="A285" s="16" t="inlineStr">
        <is>
          <t>TC_APP_284</t>
        </is>
      </c>
      <c r="B285" s="17" t="inlineStr">
        <is>
          <t>Cross-Device Android &amp; iOS Matrix</t>
        </is>
      </c>
      <c r="C285" s="17" t="inlineStr">
        <is>
          <t>Verify Appium automated execution on iPhone 13 Mini (iOS 15.0)</t>
        </is>
      </c>
      <c r="D285" s="17" t="inlineStr">
        <is>
          <t>Device connected to Appium Grid (XCUITest)</t>
        </is>
      </c>
      <c r="E285" s="17" t="inlineStr">
        <is>
          <t>1. Initialize Appium session with deviceName='iPhone 13 Mini'
2. Execute core mobile navigation suite
3. Capture visual snapshot</t>
        </is>
      </c>
      <c r="F285" s="17" t="inlineStr">
        <is>
          <t>Device=iPhone 13 Mini, OS=iOS 15.0, Resolution=1080x2340</t>
        </is>
      </c>
      <c r="G285" s="17" t="inlineStr">
        <is>
          <t>Test suite runs smoothly on iPhone 13 Mini with zero layout regressions.</t>
        </is>
      </c>
      <c r="H285" s="16" t="inlineStr">
        <is>
          <t>Manual</t>
        </is>
      </c>
      <c r="I285" s="16" t="inlineStr">
        <is>
          <t>P2</t>
        </is>
      </c>
      <c r="J285" s="16" t="inlineStr">
        <is>
          <t>Medium</t>
        </is>
      </c>
      <c r="K285" s="15" t="inlineStr">
        <is>
          <t>AUTOMATED</t>
        </is>
      </c>
    </row>
    <row r="286" ht="20" customHeight="1">
      <c r="A286" s="13" t="inlineStr">
        <is>
          <t>TC_APP_285</t>
        </is>
      </c>
      <c r="B286" s="14" t="inlineStr">
        <is>
          <t>Cross-Device Android &amp; iOS Matrix</t>
        </is>
      </c>
      <c r="C286" s="14" t="inlineStr">
        <is>
          <t>Verify Appium automated execution on iPad Air 5th Gen (iPadOS 16.4)</t>
        </is>
      </c>
      <c r="D286" s="14" t="inlineStr">
        <is>
          <t>Device connected to Appium Grid (XCUITest)</t>
        </is>
      </c>
      <c r="E286" s="14" t="inlineStr">
        <is>
          <t>1. Initialize Appium session with deviceName='iPad Air 5th Gen'
2. Execute core mobile navigation suite
3. Capture visual snapshot</t>
        </is>
      </c>
      <c r="F286" s="14" t="inlineStr">
        <is>
          <t>Device=iPad Air 5th Gen, OS=iPadOS 16.4, Resolution=1640x2360</t>
        </is>
      </c>
      <c r="G286" s="14" t="inlineStr">
        <is>
          <t>Test suite runs smoothly on iPad Air 5th Gen with zero layout regressions.</t>
        </is>
      </c>
      <c r="H286" s="13" t="inlineStr">
        <is>
          <t>Manual</t>
        </is>
      </c>
      <c r="I286" s="13" t="inlineStr">
        <is>
          <t>P2</t>
        </is>
      </c>
      <c r="J286" s="13" t="inlineStr">
        <is>
          <t>Medium</t>
        </is>
      </c>
      <c r="K286" s="15" t="inlineStr">
        <is>
          <t>AUTOMATED</t>
        </is>
      </c>
    </row>
    <row r="287" ht="20" customHeight="1">
      <c r="A287" s="16" t="inlineStr">
        <is>
          <t>TC_APP_286</t>
        </is>
      </c>
      <c r="B287" s="17" t="inlineStr">
        <is>
          <t>Network Failover &amp; Server Resilience</t>
        </is>
      </c>
      <c r="C287" s="17" t="inlineStr">
        <is>
          <t>Verify mobile app handling of network drop / latency spike #1</t>
        </is>
      </c>
      <c r="D287" s="17" t="inlineStr">
        <is>
          <t>Network latency proxy configured</t>
        </is>
      </c>
      <c r="E287" s="17" t="inlineStr">
        <is>
          <t>1. Inject 3000ms latency into mobile API requests
2. Trigger threat lookup in app
3. Verify loading spinner and retry option display</t>
        </is>
      </c>
      <c r="F287" s="17" t="inlineStr">
        <is>
          <t>Latency=3000ms, Scenario_Index=1</t>
        </is>
      </c>
      <c r="G287" s="17" t="inlineStr">
        <is>
          <t>App displays loading indicator without crashing and presents user retry button on connection timeout.</t>
        </is>
      </c>
      <c r="H287" s="16" t="inlineStr">
        <is>
          <t>Automated (Appium)</t>
        </is>
      </c>
      <c r="I287" s="16" t="inlineStr">
        <is>
          <t>P2</t>
        </is>
      </c>
      <c r="J287" s="16" t="inlineStr">
        <is>
          <t>High</t>
        </is>
      </c>
      <c r="K287" s="15" t="inlineStr">
        <is>
          <t>PASSED</t>
        </is>
      </c>
    </row>
    <row r="288" ht="20" customHeight="1">
      <c r="A288" s="13" t="inlineStr">
        <is>
          <t>TC_APP_287</t>
        </is>
      </c>
      <c r="B288" s="14" t="inlineStr">
        <is>
          <t>Network Failover &amp; Server Resilience</t>
        </is>
      </c>
      <c r="C288" s="14" t="inlineStr">
        <is>
          <t>Verify mobile app handling of network drop / latency spike #2</t>
        </is>
      </c>
      <c r="D288" s="14" t="inlineStr">
        <is>
          <t>Network latency proxy configured</t>
        </is>
      </c>
      <c r="E288" s="14" t="inlineStr">
        <is>
          <t>1. Inject 3000ms latency into mobile API requests
2. Trigger threat lookup in app
3. Verify loading spinner and retry option display</t>
        </is>
      </c>
      <c r="F288" s="14" t="inlineStr">
        <is>
          <t>Latency=3000ms, Scenario_Index=2</t>
        </is>
      </c>
      <c r="G288" s="14" t="inlineStr">
        <is>
          <t>App displays loading indicator without crashing and presents user retry button on connection timeout.</t>
        </is>
      </c>
      <c r="H288" s="13" t="inlineStr">
        <is>
          <t>Automated (Appium)</t>
        </is>
      </c>
      <c r="I288" s="13" t="inlineStr">
        <is>
          <t>P2</t>
        </is>
      </c>
      <c r="J288" s="13" t="inlineStr">
        <is>
          <t>High</t>
        </is>
      </c>
      <c r="K288" s="15" t="inlineStr">
        <is>
          <t>PASSED</t>
        </is>
      </c>
    </row>
    <row r="289" ht="20" customHeight="1">
      <c r="A289" s="16" t="inlineStr">
        <is>
          <t>TC_APP_288</t>
        </is>
      </c>
      <c r="B289" s="17" t="inlineStr">
        <is>
          <t>Network Failover &amp; Server Resilience</t>
        </is>
      </c>
      <c r="C289" s="17" t="inlineStr">
        <is>
          <t>Verify mobile app handling of network drop / latency spike #3</t>
        </is>
      </c>
      <c r="D289" s="17" t="inlineStr">
        <is>
          <t>Network latency proxy configured</t>
        </is>
      </c>
      <c r="E289" s="17" t="inlineStr">
        <is>
          <t>1. Inject 3000ms latency into mobile API requests
2. Trigger threat lookup in app
3. Verify loading spinner and retry option display</t>
        </is>
      </c>
      <c r="F289" s="17" t="inlineStr">
        <is>
          <t>Latency=3000ms, Scenario_Index=3</t>
        </is>
      </c>
      <c r="G289" s="17" t="inlineStr">
        <is>
          <t>App displays loading indicator without crashing and presents user retry button on connection timeout.</t>
        </is>
      </c>
      <c r="H289" s="16" t="inlineStr">
        <is>
          <t>Automated (Appium)</t>
        </is>
      </c>
      <c r="I289" s="16" t="inlineStr">
        <is>
          <t>P2</t>
        </is>
      </c>
      <c r="J289" s="16" t="inlineStr">
        <is>
          <t>High</t>
        </is>
      </c>
      <c r="K289" s="15" t="inlineStr">
        <is>
          <t>PASSED</t>
        </is>
      </c>
    </row>
    <row r="290" ht="20" customHeight="1">
      <c r="A290" s="13" t="inlineStr">
        <is>
          <t>TC_APP_289</t>
        </is>
      </c>
      <c r="B290" s="14" t="inlineStr">
        <is>
          <t>Network Failover &amp; Server Resilience</t>
        </is>
      </c>
      <c r="C290" s="14" t="inlineStr">
        <is>
          <t>Verify mobile app handling of network drop / latency spike #4</t>
        </is>
      </c>
      <c r="D290" s="14" t="inlineStr">
        <is>
          <t>Network latency proxy configured</t>
        </is>
      </c>
      <c r="E290" s="14" t="inlineStr">
        <is>
          <t>1. Inject 3000ms latency into mobile API requests
2. Trigger threat lookup in app
3. Verify loading spinner and retry option display</t>
        </is>
      </c>
      <c r="F290" s="14" t="inlineStr">
        <is>
          <t>Latency=3000ms, Scenario_Index=4</t>
        </is>
      </c>
      <c r="G290" s="14" t="inlineStr">
        <is>
          <t>App displays loading indicator without crashing and presents user retry button on connection timeout.</t>
        </is>
      </c>
      <c r="H290" s="13" t="inlineStr">
        <is>
          <t>Automated (Appium)</t>
        </is>
      </c>
      <c r="I290" s="13" t="inlineStr">
        <is>
          <t>P2</t>
        </is>
      </c>
      <c r="J290" s="13" t="inlineStr">
        <is>
          <t>High</t>
        </is>
      </c>
      <c r="K290" s="15" t="inlineStr">
        <is>
          <t>PASSED</t>
        </is>
      </c>
    </row>
    <row r="291" ht="20" customHeight="1">
      <c r="A291" s="16" t="inlineStr">
        <is>
          <t>TC_APP_290</t>
        </is>
      </c>
      <c r="B291" s="17" t="inlineStr">
        <is>
          <t>Network Failover &amp; Server Resilience</t>
        </is>
      </c>
      <c r="C291" s="17" t="inlineStr">
        <is>
          <t>Verify mobile app handling of network drop / latency spike #5</t>
        </is>
      </c>
      <c r="D291" s="17" t="inlineStr">
        <is>
          <t>Network latency proxy configured</t>
        </is>
      </c>
      <c r="E291" s="17" t="inlineStr">
        <is>
          <t>1. Inject 3000ms latency into mobile API requests
2. Trigger threat lookup in app
3. Verify loading spinner and retry option display</t>
        </is>
      </c>
      <c r="F291" s="17" t="inlineStr">
        <is>
          <t>Latency=3000ms, Scenario_Index=5</t>
        </is>
      </c>
      <c r="G291" s="17" t="inlineStr">
        <is>
          <t>App displays loading indicator without crashing and presents user retry button on connection timeout.</t>
        </is>
      </c>
      <c r="H291" s="16" t="inlineStr">
        <is>
          <t>Automated (Appium)</t>
        </is>
      </c>
      <c r="I291" s="16" t="inlineStr">
        <is>
          <t>P2</t>
        </is>
      </c>
      <c r="J291" s="16" t="inlineStr">
        <is>
          <t>High</t>
        </is>
      </c>
      <c r="K291" s="15" t="inlineStr">
        <is>
          <t>PASSED</t>
        </is>
      </c>
    </row>
    <row r="292" ht="20" customHeight="1">
      <c r="A292" s="13" t="inlineStr">
        <is>
          <t>TC_APP_291</t>
        </is>
      </c>
      <c r="B292" s="14" t="inlineStr">
        <is>
          <t>Network Failover &amp; Server Resilience</t>
        </is>
      </c>
      <c r="C292" s="14" t="inlineStr">
        <is>
          <t>Verify mobile app handling of network drop / latency spike #6</t>
        </is>
      </c>
      <c r="D292" s="14" t="inlineStr">
        <is>
          <t>Network latency proxy configured</t>
        </is>
      </c>
      <c r="E292" s="14" t="inlineStr">
        <is>
          <t>1. Inject 3000ms latency into mobile API requests
2. Trigger threat lookup in app
3. Verify loading spinner and retry option display</t>
        </is>
      </c>
      <c r="F292" s="14" t="inlineStr">
        <is>
          <t>Latency=3000ms, Scenario_Index=6</t>
        </is>
      </c>
      <c r="G292" s="14" t="inlineStr">
        <is>
          <t>App displays loading indicator without crashing and presents user retry button on connection timeout.</t>
        </is>
      </c>
      <c r="H292" s="13" t="inlineStr">
        <is>
          <t>Automated (Appium)</t>
        </is>
      </c>
      <c r="I292" s="13" t="inlineStr">
        <is>
          <t>P2</t>
        </is>
      </c>
      <c r="J292" s="13" t="inlineStr">
        <is>
          <t>High</t>
        </is>
      </c>
      <c r="K292" s="15" t="inlineStr">
        <is>
          <t>PASSED</t>
        </is>
      </c>
    </row>
    <row r="293" ht="20" customHeight="1">
      <c r="A293" s="16" t="inlineStr">
        <is>
          <t>TC_APP_292</t>
        </is>
      </c>
      <c r="B293" s="17" t="inlineStr">
        <is>
          <t>Network Failover &amp; Server Resilience</t>
        </is>
      </c>
      <c r="C293" s="17" t="inlineStr">
        <is>
          <t>Verify mobile app handling of network drop / latency spike #7</t>
        </is>
      </c>
      <c r="D293" s="17" t="inlineStr">
        <is>
          <t>Network latency proxy configured</t>
        </is>
      </c>
      <c r="E293" s="17" t="inlineStr">
        <is>
          <t>1. Inject 3000ms latency into mobile API requests
2. Trigger threat lookup in app
3. Verify loading spinner and retry option display</t>
        </is>
      </c>
      <c r="F293" s="17" t="inlineStr">
        <is>
          <t>Latency=3000ms, Scenario_Index=7</t>
        </is>
      </c>
      <c r="G293" s="17" t="inlineStr">
        <is>
          <t>App displays loading indicator without crashing and presents user retry button on connection timeout.</t>
        </is>
      </c>
      <c r="H293" s="16" t="inlineStr">
        <is>
          <t>Automated (Appium)</t>
        </is>
      </c>
      <c r="I293" s="16" t="inlineStr">
        <is>
          <t>P2</t>
        </is>
      </c>
      <c r="J293" s="16" t="inlineStr">
        <is>
          <t>High</t>
        </is>
      </c>
      <c r="K293" s="15" t="inlineStr">
        <is>
          <t>PASSED</t>
        </is>
      </c>
    </row>
    <row r="294" ht="20" customHeight="1">
      <c r="A294" s="13" t="inlineStr">
        <is>
          <t>TC_APP_293</t>
        </is>
      </c>
      <c r="B294" s="14" t="inlineStr">
        <is>
          <t>Network Failover &amp; Server Resilience</t>
        </is>
      </c>
      <c r="C294" s="14" t="inlineStr">
        <is>
          <t>Verify mobile app handling of network drop / latency spike #8</t>
        </is>
      </c>
      <c r="D294" s="14" t="inlineStr">
        <is>
          <t>Network latency proxy configured</t>
        </is>
      </c>
      <c r="E294" s="14" t="inlineStr">
        <is>
          <t>1. Inject 3000ms latency into mobile API requests
2. Trigger threat lookup in app
3. Verify loading spinner and retry option display</t>
        </is>
      </c>
      <c r="F294" s="14" t="inlineStr">
        <is>
          <t>Latency=3000ms, Scenario_Index=8</t>
        </is>
      </c>
      <c r="G294" s="14" t="inlineStr">
        <is>
          <t>App displays loading indicator without crashing and presents user retry button on connection timeout.</t>
        </is>
      </c>
      <c r="H294" s="13" t="inlineStr">
        <is>
          <t>Automated (Appium)</t>
        </is>
      </c>
      <c r="I294" s="13" t="inlineStr">
        <is>
          <t>P2</t>
        </is>
      </c>
      <c r="J294" s="13" t="inlineStr">
        <is>
          <t>High</t>
        </is>
      </c>
      <c r="K294" s="15" t="inlineStr">
        <is>
          <t>PASSED</t>
        </is>
      </c>
    </row>
    <row r="295" ht="20" customHeight="1">
      <c r="A295" s="16" t="inlineStr">
        <is>
          <t>TC_APP_294</t>
        </is>
      </c>
      <c r="B295" s="17" t="inlineStr">
        <is>
          <t>Network Failover &amp; Server Resilience</t>
        </is>
      </c>
      <c r="C295" s="17" t="inlineStr">
        <is>
          <t>Verify mobile app handling of network drop / latency spike #9</t>
        </is>
      </c>
      <c r="D295" s="17" t="inlineStr">
        <is>
          <t>Network latency proxy configured</t>
        </is>
      </c>
      <c r="E295" s="17" t="inlineStr">
        <is>
          <t>1. Inject 3000ms latency into mobile API requests
2. Trigger threat lookup in app
3. Verify loading spinner and retry option display</t>
        </is>
      </c>
      <c r="F295" s="17" t="inlineStr">
        <is>
          <t>Latency=3000ms, Scenario_Index=9</t>
        </is>
      </c>
      <c r="G295" s="17" t="inlineStr">
        <is>
          <t>App displays loading indicator without crashing and presents user retry button on connection timeout.</t>
        </is>
      </c>
      <c r="H295" s="16" t="inlineStr">
        <is>
          <t>Automated (Appium)</t>
        </is>
      </c>
      <c r="I295" s="16" t="inlineStr">
        <is>
          <t>P2</t>
        </is>
      </c>
      <c r="J295" s="16" t="inlineStr">
        <is>
          <t>High</t>
        </is>
      </c>
      <c r="K295" s="15" t="inlineStr">
        <is>
          <t>PASSED</t>
        </is>
      </c>
    </row>
    <row r="296" ht="20" customHeight="1">
      <c r="A296" s="13" t="inlineStr">
        <is>
          <t>TC_APP_295</t>
        </is>
      </c>
      <c r="B296" s="14" t="inlineStr">
        <is>
          <t>Network Failover &amp; Server Resilience</t>
        </is>
      </c>
      <c r="C296" s="14" t="inlineStr">
        <is>
          <t>Verify mobile app handling of network drop / latency spike #10</t>
        </is>
      </c>
      <c r="D296" s="14" t="inlineStr">
        <is>
          <t>Network latency proxy configured</t>
        </is>
      </c>
      <c r="E296" s="14" t="inlineStr">
        <is>
          <t>1. Inject 3000ms latency into mobile API requests
2. Trigger threat lookup in app
3. Verify loading spinner and retry option display</t>
        </is>
      </c>
      <c r="F296" s="14" t="inlineStr">
        <is>
          <t>Latency=3000ms, Scenario_Index=10</t>
        </is>
      </c>
      <c r="G296" s="14" t="inlineStr">
        <is>
          <t>App displays loading indicator without crashing and presents user retry button on connection timeout.</t>
        </is>
      </c>
      <c r="H296" s="13" t="inlineStr">
        <is>
          <t>Automated (Appium)</t>
        </is>
      </c>
      <c r="I296" s="13" t="inlineStr">
        <is>
          <t>P2</t>
        </is>
      </c>
      <c r="J296" s="13" t="inlineStr">
        <is>
          <t>High</t>
        </is>
      </c>
      <c r="K296" s="15" t="inlineStr">
        <is>
          <t>PASSED</t>
        </is>
      </c>
    </row>
    <row r="297" ht="20" customHeight="1">
      <c r="A297" s="16" t="inlineStr">
        <is>
          <t>TC_APP_296</t>
        </is>
      </c>
      <c r="B297" s="17" t="inlineStr">
        <is>
          <t>Network Failover &amp; Server Resilience</t>
        </is>
      </c>
      <c r="C297" s="17" t="inlineStr">
        <is>
          <t>Verify mobile app handling of network drop / latency spike #11</t>
        </is>
      </c>
      <c r="D297" s="17" t="inlineStr">
        <is>
          <t>Network latency proxy configured</t>
        </is>
      </c>
      <c r="E297" s="17" t="inlineStr">
        <is>
          <t>1. Inject 3000ms latency into mobile API requests
2. Trigger threat lookup in app
3. Verify loading spinner and retry option display</t>
        </is>
      </c>
      <c r="F297" s="17" t="inlineStr">
        <is>
          <t>Latency=3000ms, Scenario_Index=11</t>
        </is>
      </c>
      <c r="G297" s="17" t="inlineStr">
        <is>
          <t>App displays loading indicator without crashing and presents user retry button on connection timeout.</t>
        </is>
      </c>
      <c r="H297" s="16" t="inlineStr">
        <is>
          <t>Automated (Appium)</t>
        </is>
      </c>
      <c r="I297" s="16" t="inlineStr">
        <is>
          <t>P2</t>
        </is>
      </c>
      <c r="J297" s="16" t="inlineStr">
        <is>
          <t>High</t>
        </is>
      </c>
      <c r="K297" s="15" t="inlineStr">
        <is>
          <t>PASSED</t>
        </is>
      </c>
    </row>
    <row r="298" ht="20" customHeight="1">
      <c r="A298" s="13" t="inlineStr">
        <is>
          <t>TC_APP_297</t>
        </is>
      </c>
      <c r="B298" s="14" t="inlineStr">
        <is>
          <t>Network Failover &amp; Server Resilience</t>
        </is>
      </c>
      <c r="C298" s="14" t="inlineStr">
        <is>
          <t>Verify mobile app handling of network drop / latency spike #12</t>
        </is>
      </c>
      <c r="D298" s="14" t="inlineStr">
        <is>
          <t>Network latency proxy configured</t>
        </is>
      </c>
      <c r="E298" s="14" t="inlineStr">
        <is>
          <t>1. Inject 3000ms latency into mobile API requests
2. Trigger threat lookup in app
3. Verify loading spinner and retry option display</t>
        </is>
      </c>
      <c r="F298" s="14" t="inlineStr">
        <is>
          <t>Latency=3000ms, Scenario_Index=12</t>
        </is>
      </c>
      <c r="G298" s="14" t="inlineStr">
        <is>
          <t>App displays loading indicator without crashing and presents user retry button on connection timeout.</t>
        </is>
      </c>
      <c r="H298" s="13" t="inlineStr">
        <is>
          <t>Automated (Appium)</t>
        </is>
      </c>
      <c r="I298" s="13" t="inlineStr">
        <is>
          <t>P2</t>
        </is>
      </c>
      <c r="J298" s="13" t="inlineStr">
        <is>
          <t>High</t>
        </is>
      </c>
      <c r="K298" s="15" t="inlineStr">
        <is>
          <t>PASSED</t>
        </is>
      </c>
    </row>
    <row r="299" ht="20" customHeight="1">
      <c r="A299" s="16" t="inlineStr">
        <is>
          <t>TC_APP_298</t>
        </is>
      </c>
      <c r="B299" s="17" t="inlineStr">
        <is>
          <t>Network Failover &amp; Server Resilience</t>
        </is>
      </c>
      <c r="C299" s="17" t="inlineStr">
        <is>
          <t>Verify mobile app handling of network drop / latency spike #13</t>
        </is>
      </c>
      <c r="D299" s="17" t="inlineStr">
        <is>
          <t>Network latency proxy configured</t>
        </is>
      </c>
      <c r="E299" s="17" t="inlineStr">
        <is>
          <t>1. Inject 3000ms latency into mobile API requests
2. Trigger threat lookup in app
3. Verify loading spinner and retry option display</t>
        </is>
      </c>
      <c r="F299" s="17" t="inlineStr">
        <is>
          <t>Latency=3000ms, Scenario_Index=13</t>
        </is>
      </c>
      <c r="G299" s="17" t="inlineStr">
        <is>
          <t>App displays loading indicator without crashing and presents user retry button on connection timeout.</t>
        </is>
      </c>
      <c r="H299" s="16" t="inlineStr">
        <is>
          <t>Automated (Appium)</t>
        </is>
      </c>
      <c r="I299" s="16" t="inlineStr">
        <is>
          <t>P2</t>
        </is>
      </c>
      <c r="J299" s="16" t="inlineStr">
        <is>
          <t>High</t>
        </is>
      </c>
      <c r="K299" s="15" t="inlineStr">
        <is>
          <t>AUTOMATED</t>
        </is>
      </c>
    </row>
    <row r="300" ht="20" customHeight="1">
      <c r="A300" s="13" t="inlineStr">
        <is>
          <t>TC_APP_299</t>
        </is>
      </c>
      <c r="B300" s="14" t="inlineStr">
        <is>
          <t>Network Failover &amp; Server Resilience</t>
        </is>
      </c>
      <c r="C300" s="14" t="inlineStr">
        <is>
          <t>Verify mobile app handling of network drop / latency spike #14</t>
        </is>
      </c>
      <c r="D300" s="14" t="inlineStr">
        <is>
          <t>Network latency proxy configured</t>
        </is>
      </c>
      <c r="E300" s="14" t="inlineStr">
        <is>
          <t>1. Inject 3000ms latency into mobile API requests
2. Trigger threat lookup in app
3. Verify loading spinner and retry option display</t>
        </is>
      </c>
      <c r="F300" s="14" t="inlineStr">
        <is>
          <t>Latency=3000ms, Scenario_Index=14</t>
        </is>
      </c>
      <c r="G300" s="14" t="inlineStr">
        <is>
          <t>App displays loading indicator without crashing and presents user retry button on connection timeout.</t>
        </is>
      </c>
      <c r="H300" s="13" t="inlineStr">
        <is>
          <t>Automated (Appium)</t>
        </is>
      </c>
      <c r="I300" s="13" t="inlineStr">
        <is>
          <t>P2</t>
        </is>
      </c>
      <c r="J300" s="13" t="inlineStr">
        <is>
          <t>High</t>
        </is>
      </c>
      <c r="K300" s="15" t="inlineStr">
        <is>
          <t>AUTOMATED</t>
        </is>
      </c>
    </row>
    <row r="301" ht="20" customHeight="1">
      <c r="A301" s="16" t="inlineStr">
        <is>
          <t>TC_APP_300</t>
        </is>
      </c>
      <c r="B301" s="17" t="inlineStr">
        <is>
          <t>Network Failover &amp; Server Resilience</t>
        </is>
      </c>
      <c r="C301" s="17" t="inlineStr">
        <is>
          <t>Verify mobile app handling of network drop / latency spike #15</t>
        </is>
      </c>
      <c r="D301" s="17" t="inlineStr">
        <is>
          <t>Network latency proxy configured</t>
        </is>
      </c>
      <c r="E301" s="17" t="inlineStr">
        <is>
          <t>1. Inject 3000ms latency into mobile API requests
2. Trigger threat lookup in app
3. Verify loading spinner and retry option display</t>
        </is>
      </c>
      <c r="F301" s="17" t="inlineStr">
        <is>
          <t>Latency=3000ms, Scenario_Index=15</t>
        </is>
      </c>
      <c r="G301" s="17" t="inlineStr">
        <is>
          <t>App displays loading indicator without crashing and presents user retry button on connection timeout.</t>
        </is>
      </c>
      <c r="H301" s="16" t="inlineStr">
        <is>
          <t>Automated (Appium)</t>
        </is>
      </c>
      <c r="I301" s="16" t="inlineStr">
        <is>
          <t>P2</t>
        </is>
      </c>
      <c r="J301" s="16" t="inlineStr">
        <is>
          <t>High</t>
        </is>
      </c>
      <c r="K301" s="15" t="inlineStr">
        <is>
          <t>AUTOMATED</t>
        </is>
      </c>
    </row>
    <row r="302" ht="20" customHeight="1">
      <c r="A302" s="13" t="inlineStr">
        <is>
          <t>TC_APP_301</t>
        </is>
      </c>
      <c r="B302" s="14" t="inlineStr">
        <is>
          <t>Network Failover &amp; Server Resilience</t>
        </is>
      </c>
      <c r="C302" s="14" t="inlineStr">
        <is>
          <t>Verify mobile app handling of network drop / latency spike #16</t>
        </is>
      </c>
      <c r="D302" s="14" t="inlineStr">
        <is>
          <t>Network latency proxy configured</t>
        </is>
      </c>
      <c r="E302" s="14" t="inlineStr">
        <is>
          <t>1. Inject 3000ms latency into mobile API requests
2. Trigger threat lookup in app
3. Verify loading spinner and retry option display</t>
        </is>
      </c>
      <c r="F302" s="14" t="inlineStr">
        <is>
          <t>Latency=3000ms, Scenario_Index=16</t>
        </is>
      </c>
      <c r="G302" s="14" t="inlineStr">
        <is>
          <t>App displays loading indicator without crashing and presents user retry button on connection timeout.</t>
        </is>
      </c>
      <c r="H302" s="13" t="inlineStr">
        <is>
          <t>Automated (Appium)</t>
        </is>
      </c>
      <c r="I302" s="13" t="inlineStr">
        <is>
          <t>P2</t>
        </is>
      </c>
      <c r="J302" s="13" t="inlineStr">
        <is>
          <t>High</t>
        </is>
      </c>
      <c r="K302" s="15" t="inlineStr">
        <is>
          <t>AUTOMATED</t>
        </is>
      </c>
    </row>
    <row r="303" ht="20" customHeight="1">
      <c r="A303" s="16" t="inlineStr">
        <is>
          <t>TC_APP_302</t>
        </is>
      </c>
      <c r="B303" s="17" t="inlineStr">
        <is>
          <t>Network Failover &amp; Server Resilience</t>
        </is>
      </c>
      <c r="C303" s="17" t="inlineStr">
        <is>
          <t>Verify mobile app handling of network drop / latency spike #17</t>
        </is>
      </c>
      <c r="D303" s="17" t="inlineStr">
        <is>
          <t>Network latency proxy configured</t>
        </is>
      </c>
      <c r="E303" s="17" t="inlineStr">
        <is>
          <t>1. Inject 3000ms latency into mobile API requests
2. Trigger threat lookup in app
3. Verify loading spinner and retry option display</t>
        </is>
      </c>
      <c r="F303" s="17" t="inlineStr">
        <is>
          <t>Latency=3000ms, Scenario_Index=17</t>
        </is>
      </c>
      <c r="G303" s="17" t="inlineStr">
        <is>
          <t>App displays loading indicator without crashing and presents user retry button on connection timeout.</t>
        </is>
      </c>
      <c r="H303" s="16" t="inlineStr">
        <is>
          <t>Automated (Appium)</t>
        </is>
      </c>
      <c r="I303" s="16" t="inlineStr">
        <is>
          <t>P2</t>
        </is>
      </c>
      <c r="J303" s="16" t="inlineStr">
        <is>
          <t>High</t>
        </is>
      </c>
      <c r="K303" s="15" t="inlineStr">
        <is>
          <t>AUTOMATED</t>
        </is>
      </c>
    </row>
    <row r="304" ht="20" customHeight="1">
      <c r="A304" s="13" t="inlineStr">
        <is>
          <t>TC_APP_303</t>
        </is>
      </c>
      <c r="B304" s="14" t="inlineStr">
        <is>
          <t>Network Failover &amp; Server Resilience</t>
        </is>
      </c>
      <c r="C304" s="14" t="inlineStr">
        <is>
          <t>Verify mobile app handling of network drop / latency spike #18</t>
        </is>
      </c>
      <c r="D304" s="14" t="inlineStr">
        <is>
          <t>Network latency proxy configured</t>
        </is>
      </c>
      <c r="E304" s="14" t="inlineStr">
        <is>
          <t>1. Inject 3000ms latency into mobile API requests
2. Trigger threat lookup in app
3. Verify loading spinner and retry option display</t>
        </is>
      </c>
      <c r="F304" s="14" t="inlineStr">
        <is>
          <t>Latency=3000ms, Scenario_Index=18</t>
        </is>
      </c>
      <c r="G304" s="14" t="inlineStr">
        <is>
          <t>App displays loading indicator without crashing and presents user retry button on connection timeout.</t>
        </is>
      </c>
      <c r="H304" s="13" t="inlineStr">
        <is>
          <t>Automated (Appium)</t>
        </is>
      </c>
      <c r="I304" s="13" t="inlineStr">
        <is>
          <t>P2</t>
        </is>
      </c>
      <c r="J304" s="13" t="inlineStr">
        <is>
          <t>High</t>
        </is>
      </c>
      <c r="K304" s="15" t="inlineStr">
        <is>
          <t>AUTOMATED</t>
        </is>
      </c>
    </row>
    <row r="305" ht="20" customHeight="1">
      <c r="A305" s="16" t="inlineStr">
        <is>
          <t>TC_APP_304</t>
        </is>
      </c>
      <c r="B305" s="17" t="inlineStr">
        <is>
          <t>Network Failover &amp; Server Resilience</t>
        </is>
      </c>
      <c r="C305" s="17" t="inlineStr">
        <is>
          <t>Verify mobile app handling of network drop / latency spike #19</t>
        </is>
      </c>
      <c r="D305" s="17" t="inlineStr">
        <is>
          <t>Network latency proxy configured</t>
        </is>
      </c>
      <c r="E305" s="17" t="inlineStr">
        <is>
          <t>1. Inject 3000ms latency into mobile API requests
2. Trigger threat lookup in app
3. Verify loading spinner and retry option display</t>
        </is>
      </c>
      <c r="F305" s="17" t="inlineStr">
        <is>
          <t>Latency=3000ms, Scenario_Index=19</t>
        </is>
      </c>
      <c r="G305" s="17" t="inlineStr">
        <is>
          <t>App displays loading indicator without crashing and presents user retry button on connection timeout.</t>
        </is>
      </c>
      <c r="H305" s="16" t="inlineStr">
        <is>
          <t>Automated (Appium)</t>
        </is>
      </c>
      <c r="I305" s="16" t="inlineStr">
        <is>
          <t>P2</t>
        </is>
      </c>
      <c r="J305" s="16" t="inlineStr">
        <is>
          <t>High</t>
        </is>
      </c>
      <c r="K305" s="15" t="inlineStr">
        <is>
          <t>AUTOMATED</t>
        </is>
      </c>
    </row>
    <row r="306" ht="20" customHeight="1">
      <c r="A306" s="13" t="inlineStr">
        <is>
          <t>TC_APP_305</t>
        </is>
      </c>
      <c r="B306" s="14" t="inlineStr">
        <is>
          <t>Network Failover &amp; Server Resilience</t>
        </is>
      </c>
      <c r="C306" s="14" t="inlineStr">
        <is>
          <t>Verify mobile app handling of network drop / latency spike #20</t>
        </is>
      </c>
      <c r="D306" s="14" t="inlineStr">
        <is>
          <t>Network latency proxy configured</t>
        </is>
      </c>
      <c r="E306" s="14" t="inlineStr">
        <is>
          <t>1. Inject 3000ms latency into mobile API requests
2. Trigger threat lookup in app
3. Verify loading spinner and retry option display</t>
        </is>
      </c>
      <c r="F306" s="14" t="inlineStr">
        <is>
          <t>Latency=3000ms, Scenario_Index=20</t>
        </is>
      </c>
      <c r="G306" s="14" t="inlineStr">
        <is>
          <t>App displays loading indicator without crashing and presents user retry button on connection timeout.</t>
        </is>
      </c>
      <c r="H306" s="13" t="inlineStr">
        <is>
          <t>Automated (Appium)</t>
        </is>
      </c>
      <c r="I306" s="13" t="inlineStr">
        <is>
          <t>P2</t>
        </is>
      </c>
      <c r="J306" s="13" t="inlineStr">
        <is>
          <t>High</t>
        </is>
      </c>
      <c r="K306" s="15" t="inlineStr">
        <is>
          <t>AUTOMATED</t>
        </is>
      </c>
    </row>
    <row r="307" ht="20" customHeight="1">
      <c r="A307" s="16" t="inlineStr">
        <is>
          <t>TC_APP_306</t>
        </is>
      </c>
      <c r="B307" s="17" t="inlineStr">
        <is>
          <t>Network Failover &amp; Server Resilience</t>
        </is>
      </c>
      <c r="C307" s="17" t="inlineStr">
        <is>
          <t>Verify mobile app handling of network drop / latency spike #21</t>
        </is>
      </c>
      <c r="D307" s="17" t="inlineStr">
        <is>
          <t>Network latency proxy configured</t>
        </is>
      </c>
      <c r="E307" s="17" t="inlineStr">
        <is>
          <t>1. Inject 3000ms latency into mobile API requests
2. Trigger threat lookup in app
3. Verify loading spinner and retry option display</t>
        </is>
      </c>
      <c r="F307" s="17" t="inlineStr">
        <is>
          <t>Latency=3000ms, Scenario_Index=21</t>
        </is>
      </c>
      <c r="G307" s="17" t="inlineStr">
        <is>
          <t>App displays loading indicator without crashing and presents user retry button on connection timeout.</t>
        </is>
      </c>
      <c r="H307" s="16" t="inlineStr">
        <is>
          <t>Automated (Appium)</t>
        </is>
      </c>
      <c r="I307" s="16" t="inlineStr">
        <is>
          <t>P2</t>
        </is>
      </c>
      <c r="J307" s="16" t="inlineStr">
        <is>
          <t>High</t>
        </is>
      </c>
      <c r="K307" s="15" t="inlineStr">
        <is>
          <t>AUTOMATED</t>
        </is>
      </c>
    </row>
    <row r="308" ht="20" customHeight="1">
      <c r="A308" s="13" t="inlineStr">
        <is>
          <t>TC_APP_307</t>
        </is>
      </c>
      <c r="B308" s="14" t="inlineStr">
        <is>
          <t>Network Failover &amp; Server Resilience</t>
        </is>
      </c>
      <c r="C308" s="14" t="inlineStr">
        <is>
          <t>Verify mobile app handling of network drop / latency spike #22</t>
        </is>
      </c>
      <c r="D308" s="14" t="inlineStr">
        <is>
          <t>Network latency proxy configured</t>
        </is>
      </c>
      <c r="E308" s="14" t="inlineStr">
        <is>
          <t>1. Inject 3000ms latency into mobile API requests
2. Trigger threat lookup in app
3. Verify loading spinner and retry option display</t>
        </is>
      </c>
      <c r="F308" s="14" t="inlineStr">
        <is>
          <t>Latency=3000ms, Scenario_Index=22</t>
        </is>
      </c>
      <c r="G308" s="14" t="inlineStr">
        <is>
          <t>App displays loading indicator without crashing and presents user retry button on connection timeout.</t>
        </is>
      </c>
      <c r="H308" s="13" t="inlineStr">
        <is>
          <t>Automated (Appium)</t>
        </is>
      </c>
      <c r="I308" s="13" t="inlineStr">
        <is>
          <t>P2</t>
        </is>
      </c>
      <c r="J308" s="13" t="inlineStr">
        <is>
          <t>High</t>
        </is>
      </c>
      <c r="K308" s="15" t="inlineStr">
        <is>
          <t>AUTOMATED</t>
        </is>
      </c>
    </row>
    <row r="309" ht="20" customHeight="1">
      <c r="A309" s="16" t="inlineStr">
        <is>
          <t>TC_APP_308</t>
        </is>
      </c>
      <c r="B309" s="17" t="inlineStr">
        <is>
          <t>Network Failover &amp; Server Resilience</t>
        </is>
      </c>
      <c r="C309" s="17" t="inlineStr">
        <is>
          <t>Verify mobile app handling of network drop / latency spike #23</t>
        </is>
      </c>
      <c r="D309" s="17" t="inlineStr">
        <is>
          <t>Network latency proxy configured</t>
        </is>
      </c>
      <c r="E309" s="17" t="inlineStr">
        <is>
          <t>1. Inject 3000ms latency into mobile API requests
2. Trigger threat lookup in app
3. Verify loading spinner and retry option display</t>
        </is>
      </c>
      <c r="F309" s="17" t="inlineStr">
        <is>
          <t>Latency=3000ms, Scenario_Index=23</t>
        </is>
      </c>
      <c r="G309" s="17" t="inlineStr">
        <is>
          <t>App displays loading indicator without crashing and presents user retry button on connection timeout.</t>
        </is>
      </c>
      <c r="H309" s="16" t="inlineStr">
        <is>
          <t>Automated (Appium)</t>
        </is>
      </c>
      <c r="I309" s="16" t="inlineStr">
        <is>
          <t>P2</t>
        </is>
      </c>
      <c r="J309" s="16" t="inlineStr">
        <is>
          <t>High</t>
        </is>
      </c>
      <c r="K309" s="15" t="inlineStr">
        <is>
          <t>AUTOMATED</t>
        </is>
      </c>
    </row>
    <row r="310" ht="20" customHeight="1">
      <c r="A310" s="13" t="inlineStr">
        <is>
          <t>TC_APP_309</t>
        </is>
      </c>
      <c r="B310" s="14" t="inlineStr">
        <is>
          <t>Network Failover &amp; Server Resilience</t>
        </is>
      </c>
      <c r="C310" s="14" t="inlineStr">
        <is>
          <t>Verify mobile app handling of network drop / latency spike #24</t>
        </is>
      </c>
      <c r="D310" s="14" t="inlineStr">
        <is>
          <t>Network latency proxy configured</t>
        </is>
      </c>
      <c r="E310" s="14" t="inlineStr">
        <is>
          <t>1. Inject 3000ms latency into mobile API requests
2. Trigger threat lookup in app
3. Verify loading spinner and retry option display</t>
        </is>
      </c>
      <c r="F310" s="14" t="inlineStr">
        <is>
          <t>Latency=3000ms, Scenario_Index=24</t>
        </is>
      </c>
      <c r="G310" s="14" t="inlineStr">
        <is>
          <t>App displays loading indicator without crashing and presents user retry button on connection timeout.</t>
        </is>
      </c>
      <c r="H310" s="13" t="inlineStr">
        <is>
          <t>Automated (Appium)</t>
        </is>
      </c>
      <c r="I310" s="13" t="inlineStr">
        <is>
          <t>P2</t>
        </is>
      </c>
      <c r="J310" s="13" t="inlineStr">
        <is>
          <t>High</t>
        </is>
      </c>
      <c r="K310" s="15" t="inlineStr">
        <is>
          <t>AUTOMATED</t>
        </is>
      </c>
    </row>
    <row r="311" ht="20" customHeight="1">
      <c r="A311" s="16" t="inlineStr">
        <is>
          <t>TC_APP_310</t>
        </is>
      </c>
      <c r="B311" s="17" t="inlineStr">
        <is>
          <t>Network Failover &amp; Server Resilience</t>
        </is>
      </c>
      <c r="C311" s="17" t="inlineStr">
        <is>
          <t>Verify mobile app handling of network drop / latency spike #25</t>
        </is>
      </c>
      <c r="D311" s="17" t="inlineStr">
        <is>
          <t>Network latency proxy configured</t>
        </is>
      </c>
      <c r="E311" s="17" t="inlineStr">
        <is>
          <t>1. Inject 3000ms latency into mobile API requests
2. Trigger threat lookup in app
3. Verify loading spinner and retry option display</t>
        </is>
      </c>
      <c r="F311" s="17" t="inlineStr">
        <is>
          <t>Latency=3000ms, Scenario_Index=25</t>
        </is>
      </c>
      <c r="G311" s="17" t="inlineStr">
        <is>
          <t>App displays loading indicator without crashing and presents user retry button on connection timeout.</t>
        </is>
      </c>
      <c r="H311" s="16" t="inlineStr">
        <is>
          <t>Automated (Appium)</t>
        </is>
      </c>
      <c r="I311" s="16" t="inlineStr">
        <is>
          <t>P2</t>
        </is>
      </c>
      <c r="J311" s="16" t="inlineStr">
        <is>
          <t>High</t>
        </is>
      </c>
      <c r="K311" s="15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2026-08-10T16:23:15Z</dcterms:created>
  <dcterms:modified xsi:type="dcterms:W3CDTF">2026-08-10T16:23:15Z</dcterms:modified>
</cp:coreProperties>
</file>